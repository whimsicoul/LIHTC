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defaultThemeVersion="124226"/>
  <mc:AlternateContent xmlns:mc="http://schemas.openxmlformats.org/markup-compatibility/2006">
    <mc:Choice Requires="x15">
      <x15ac:absPath xmlns:x15ac="http://schemas.microsoft.com/office/spreadsheetml/2010/11/ac" url="Q:\webmaster_projects\mf_temp_docs\2025\2025 9% Round\"/>
    </mc:Choice>
  </mc:AlternateContent>
  <xr:revisionPtr revIDLastSave="0" documentId="13_ncr:1_{A0C13205-E14A-4464-951E-5B3519D082A4}" xr6:coauthVersionLast="47" xr6:coauthVersionMax="47" xr10:uidLastSave="{00000000-0000-0000-0000-000000000000}"/>
  <bookViews>
    <workbookView xWindow="28680" yWindow="-120" windowWidth="29040" windowHeight="15840" xr2:uid="{00000000-000D-0000-FFFF-FFFF00000000}"/>
  </bookViews>
  <sheets>
    <sheet name="Submissions" sheetId="1" r:id="rId1"/>
    <sheet name="Credit Returns" sheetId="3" r:id="rId2"/>
  </sheets>
  <definedNames>
    <definedName name="_xlnm._FilterDatabase" localSheetId="0" hidden="1">Submissions!$AH$11:$AK$197</definedName>
    <definedName name="_xlnm.Print_Area" localSheetId="0">Submissions!$A$1:$AK$197</definedName>
    <definedName name="_xlnm.Print_Titles" localSheetId="0">Submissions!$11:$11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9" i="1" l="1"/>
  <c r="C120" i="1"/>
  <c r="C109" i="1"/>
  <c r="C72" i="1"/>
  <c r="S178" i="1" l="1"/>
  <c r="S71" i="1"/>
  <c r="S155" i="1"/>
  <c r="S113" i="1"/>
  <c r="S52" i="1"/>
  <c r="S47" i="1"/>
  <c r="S43" i="1"/>
  <c r="S39" i="1"/>
  <c r="S34" i="1"/>
  <c r="S77" i="1" l="1"/>
  <c r="S81" i="1"/>
  <c r="S85" i="1"/>
  <c r="S90" i="1"/>
  <c r="S94" i="1"/>
  <c r="S29" i="1" l="1"/>
  <c r="S119" i="1"/>
  <c r="S135" i="1"/>
  <c r="S160" i="1"/>
  <c r="S165" i="1"/>
  <c r="S173" i="1"/>
  <c r="S182" i="1"/>
  <c r="S108" i="1"/>
  <c r="S131" i="1"/>
  <c r="S148" i="1"/>
  <c r="S193" i="1"/>
  <c r="S186" i="1"/>
  <c r="S125" i="1" l="1"/>
  <c r="S195" i="1" l="1"/>
</calcChain>
</file>

<file path=xl/sharedStrings.xml><?xml version="1.0" encoding="utf-8"?>
<sst xmlns="http://schemas.openxmlformats.org/spreadsheetml/2006/main" count="1719" uniqueCount="523">
  <si>
    <t>Application Number</t>
  </si>
  <si>
    <t>City</t>
  </si>
  <si>
    <t>Development Name</t>
  </si>
  <si>
    <t>County</t>
  </si>
  <si>
    <t>Region</t>
  </si>
  <si>
    <t>Total Units</t>
  </si>
  <si>
    <t>HTC Request</t>
  </si>
  <si>
    <t>Nonprofit</t>
  </si>
  <si>
    <t>USDA</t>
  </si>
  <si>
    <t>At-Risk</t>
  </si>
  <si>
    <t>Development Address</t>
  </si>
  <si>
    <t>ETJ</t>
  </si>
  <si>
    <t>ZIP Code</t>
  </si>
  <si>
    <t>Urban/Rural</t>
  </si>
  <si>
    <t>Low-Income Units</t>
  </si>
  <si>
    <t>Market Rate Units</t>
  </si>
  <si>
    <t>Self Score Total</t>
  </si>
  <si>
    <t>Census Tract(s)</t>
  </si>
  <si>
    <t>Texas Department of Housing and Community Affairs</t>
  </si>
  <si>
    <t>At-Risk Set-Aside</t>
  </si>
  <si>
    <t>Total HTCs Requested</t>
  </si>
  <si>
    <t>USDA Set-Aside</t>
  </si>
  <si>
    <t>Construction Type</t>
  </si>
  <si>
    <t>Region 1/Rural</t>
  </si>
  <si>
    <t>Estimated Amount Available to Allocate</t>
  </si>
  <si>
    <t>§11.9(d)(1)</t>
  </si>
  <si>
    <t>§11.9(d)(4)</t>
  </si>
  <si>
    <t>§11.9(d)(5)</t>
  </si>
  <si>
    <t>§11.9(d)(6)</t>
  </si>
  <si>
    <t>§11.9(d)(7)</t>
  </si>
  <si>
    <t>Region 1/Urban</t>
  </si>
  <si>
    <t>Region 2/Rural</t>
  </si>
  <si>
    <t>Region 2/Urban</t>
  </si>
  <si>
    <t>Region 3/Rural</t>
  </si>
  <si>
    <t>Region 3/Urban</t>
  </si>
  <si>
    <t>Region 4/Rural</t>
  </si>
  <si>
    <t>Region 4/Urban</t>
  </si>
  <si>
    <t>Region 5/Rural</t>
  </si>
  <si>
    <t>Region 5/Urban</t>
  </si>
  <si>
    <t>Region 6/Rural</t>
  </si>
  <si>
    <t>Region 6/Urban</t>
  </si>
  <si>
    <t>Region 7/Rural</t>
  </si>
  <si>
    <t>Region 7/Urban</t>
  </si>
  <si>
    <t>Region 8/Rural</t>
  </si>
  <si>
    <t>Region 8/Urban</t>
  </si>
  <si>
    <t>Region 9/Rural</t>
  </si>
  <si>
    <t>Region 9/Urban</t>
  </si>
  <si>
    <t>Region 10/Rural</t>
  </si>
  <si>
    <t>Region 10/Urban</t>
  </si>
  <si>
    <t>Region 11/Rural</t>
  </si>
  <si>
    <t>Region 11/Urban</t>
  </si>
  <si>
    <t>Region 12/Rural</t>
  </si>
  <si>
    <t>Region 12/Urban</t>
  </si>
  <si>
    <t>Region 13/Rural</t>
  </si>
  <si>
    <t>Region 13/Urban</t>
  </si>
  <si>
    <t>Total Amount Requested</t>
  </si>
  <si>
    <t>Target Population
(Supp. Hsg. = SH)</t>
  </si>
  <si>
    <t>Primary Contact</t>
  </si>
  <si>
    <t>Second Contact</t>
  </si>
  <si>
    <t>Estimated Available to Allocate</t>
  </si>
  <si>
    <t>Construction Type:   (NC=New Construction, Recon=Reconstruction, AcR=Acquisition/Rehabilitation, Rehab=Rehabilitation Only, SS = Scattered Site, AR = Adaptive Reuse)</t>
  </si>
  <si>
    <t>§11.9(c)(9)</t>
  </si>
  <si>
    <t>HQ Pre-K</t>
  </si>
  <si>
    <t xml:space="preserve"> Amenities Tie-Breaker Total §11.7(2)</t>
  </si>
  <si>
    <t xml:space="preserve"> §11.7(1) USDA      Tie -Breaker </t>
  </si>
  <si>
    <t>2025 Competitive (9%) Housing Tax Credit ("HTC") Program</t>
  </si>
  <si>
    <r>
      <rPr>
        <b/>
        <u/>
        <sz val="10"/>
        <color indexed="8"/>
        <rFont val="Cambria"/>
        <family val="1"/>
      </rPr>
      <t>NOTE</t>
    </r>
    <r>
      <rPr>
        <b/>
        <sz val="10"/>
        <color indexed="8"/>
        <rFont val="Cambria"/>
        <family val="1"/>
      </rPr>
      <t>:</t>
    </r>
    <r>
      <rPr>
        <sz val="10"/>
        <color indexed="8"/>
        <rFont val="Cambria"/>
        <family val="1"/>
      </rPr>
      <t xml:space="preserve"> 
The following scoring categories are NOT included in the "Self Score Total" column but intent is reflected in the last six columns:
§11.9(d)(1) - Local Government Support
§11.9(d)(4) - Quantifiable Community Participation ("QCP")
§11.9(d)(5) - Community Support from State Representative
§11.9(d)(6) - Input from Community Organizations
§11.9(d)(7) - Concerted Revitalization Plan ("CRP")                                         §11.9(c)(9) - Readiness to Proceed in a Disaster Impacted Area ("RTP") 
</t>
    </r>
  </si>
  <si>
    <t>Fredericksburg Senior Apartments</t>
  </si>
  <si>
    <t>591 E. Highway St</t>
  </si>
  <si>
    <t>Fredericksburg</t>
  </si>
  <si>
    <t>Gillespie</t>
  </si>
  <si>
    <t>Rural</t>
  </si>
  <si>
    <t>Elderly</t>
  </si>
  <si>
    <t>Murray Calhoun</t>
  </si>
  <si>
    <t>Jason Rabalais</t>
  </si>
  <si>
    <t>General</t>
  </si>
  <si>
    <t>700 Jarvis Lane</t>
  </si>
  <si>
    <t>Tarrant</t>
  </si>
  <si>
    <t>Urban</t>
  </si>
  <si>
    <t>Jonathan Campbell</t>
  </si>
  <si>
    <t>Rebecca Armer</t>
  </si>
  <si>
    <t>Cameron</t>
  </si>
  <si>
    <t>Dennis Hoover</t>
  </si>
  <si>
    <t>Kim Youngquist</t>
  </si>
  <si>
    <t>606 E Kennedy Avenue</t>
  </si>
  <si>
    <t>Sabinal</t>
  </si>
  <si>
    <t>Uvalde</t>
  </si>
  <si>
    <t>Pecan Bend</t>
  </si>
  <si>
    <t>501 Kings Way Dr</t>
  </si>
  <si>
    <t>Mansfield</t>
  </si>
  <si>
    <t>Mason Benbow</t>
  </si>
  <si>
    <t>Oakcrest South</t>
  </si>
  <si>
    <t>1415 W. Norris St.</t>
  </si>
  <si>
    <t>El Campo</t>
  </si>
  <si>
    <t>Wharton</t>
  </si>
  <si>
    <t>Carthage Senior Estates</t>
  </si>
  <si>
    <t>100-101 Senior Ave</t>
  </si>
  <si>
    <t>Carthage</t>
  </si>
  <si>
    <t>Panola</t>
  </si>
  <si>
    <t>Christina Ott</t>
  </si>
  <si>
    <t>Alyssa Carpenter</t>
  </si>
  <si>
    <t>GardenWalk of Cleveland</t>
  </si>
  <si>
    <t>Cleveland</t>
  </si>
  <si>
    <t>Liberty</t>
  </si>
  <si>
    <t>Derrick Hamilton</t>
  </si>
  <si>
    <t>Shawn Smith</t>
  </si>
  <si>
    <t>Montgomery</t>
  </si>
  <si>
    <t>GardenWalk of West Columbia</t>
  </si>
  <si>
    <t>431 Lamar St.</t>
  </si>
  <si>
    <t>West Columbia</t>
  </si>
  <si>
    <t>Brazoria</t>
  </si>
  <si>
    <t>808 Eberhart Lane</t>
  </si>
  <si>
    <t>Austin</t>
  </si>
  <si>
    <t>Travis</t>
  </si>
  <si>
    <t>Tracey Fine</t>
  </si>
  <si>
    <t>Conway Village</t>
  </si>
  <si>
    <t>Mission</t>
  </si>
  <si>
    <t>Hidalgo</t>
  </si>
  <si>
    <t>New Construction</t>
  </si>
  <si>
    <t>Arnold Padilla</t>
  </si>
  <si>
    <t>Kathryn Saar</t>
  </si>
  <si>
    <t>Waco</t>
  </si>
  <si>
    <t>St. George's Court</t>
  </si>
  <si>
    <t>Oakleaf Estates</t>
  </si>
  <si>
    <t>Silsbee</t>
  </si>
  <si>
    <t>Hardin</t>
  </si>
  <si>
    <t>Miranda Sprague</t>
  </si>
  <si>
    <t>Tamea Dula</t>
  </si>
  <si>
    <t>Houston</t>
  </si>
  <si>
    <t>Edgewood Senior Apartments</t>
  </si>
  <si>
    <t>300 E Elm St</t>
  </si>
  <si>
    <t>Edgewood</t>
  </si>
  <si>
    <t>Van Zandt</t>
  </si>
  <si>
    <t>Linden Senior Estates</t>
  </si>
  <si>
    <t>700 W Broad St</t>
  </si>
  <si>
    <t>Linden</t>
  </si>
  <si>
    <t>Cass</t>
  </si>
  <si>
    <t>Melody Grove II</t>
  </si>
  <si>
    <t>1809 JJ Flewellen Road</t>
  </si>
  <si>
    <t>Colton Kyle</t>
  </si>
  <si>
    <t>Micah Strange</t>
  </si>
  <si>
    <t>Karla Burck</t>
  </si>
  <si>
    <t>Avalon at Levelland</t>
  </si>
  <si>
    <t>508 Clubview Drive</t>
  </si>
  <si>
    <t>Levelland</t>
  </si>
  <si>
    <t>Hockley</t>
  </si>
  <si>
    <t>Nathan Joseph</t>
  </si>
  <si>
    <t>Christopher Tritsis</t>
  </si>
  <si>
    <t>Amarillo</t>
  </si>
  <si>
    <t>Tecovas Terrace</t>
  </si>
  <si>
    <t>1601 SE 28th Avenue</t>
  </si>
  <si>
    <t>Potter</t>
  </si>
  <si>
    <t>Jason Lain</t>
  </si>
  <si>
    <t>Clay Cooper</t>
  </si>
  <si>
    <t>Avenue U Villas</t>
  </si>
  <si>
    <t>8401 Avenue U</t>
  </si>
  <si>
    <t>Lubbock</t>
  </si>
  <si>
    <t>Jay Milam</t>
  </si>
  <si>
    <t>Jason Santee</t>
  </si>
  <si>
    <t>Tisha Vaidya</t>
  </si>
  <si>
    <t>Moira Concannon</t>
  </si>
  <si>
    <t>Breck Kean</t>
  </si>
  <si>
    <t>Ginger McGuire</t>
  </si>
  <si>
    <t>Early Pioneer Crossing</t>
  </si>
  <si>
    <t>~401 Old Comanche Rd.</t>
  </si>
  <si>
    <t>Early</t>
  </si>
  <si>
    <t>Brown</t>
  </si>
  <si>
    <t>Lora Myrick</t>
  </si>
  <si>
    <t>Ronnie Gyani</t>
  </si>
  <si>
    <t>Abilene</t>
  </si>
  <si>
    <t>Taylor</t>
  </si>
  <si>
    <t>Landmark on Cypress</t>
  </si>
  <si>
    <t>301 Cypress St</t>
  </si>
  <si>
    <t>April Engstrom</t>
  </si>
  <si>
    <t>Reserve at Corsicana</t>
  </si>
  <si>
    <t>300 N 45th St</t>
  </si>
  <si>
    <t>Corsicana</t>
  </si>
  <si>
    <t>Navarro</t>
  </si>
  <si>
    <t>Brian McGeady</t>
  </si>
  <si>
    <t>Justin Gregory</t>
  </si>
  <si>
    <t>Dragonfly Meadows at Lake Granbury</t>
  </si>
  <si>
    <t>1300 N Meadows Dr</t>
  </si>
  <si>
    <t>Granbury</t>
  </si>
  <si>
    <t>Hood</t>
  </si>
  <si>
    <t>Sandy Watson</t>
  </si>
  <si>
    <t>Adrian Iglesias</t>
  </si>
  <si>
    <t>Avenue at Lancaster</t>
  </si>
  <si>
    <t>5733 Craig Street</t>
  </si>
  <si>
    <t>Fort Worth</t>
  </si>
  <si>
    <t>Jervon Harris</t>
  </si>
  <si>
    <t>Dallas</t>
  </si>
  <si>
    <t>Reserve at Elam</t>
  </si>
  <si>
    <t>8992 Elam Rd</t>
  </si>
  <si>
    <t>Denton</t>
  </si>
  <si>
    <t>Dan Wilson</t>
  </si>
  <si>
    <t>Carine Yhap</t>
  </si>
  <si>
    <t>The Broderick</t>
  </si>
  <si>
    <t>12800 Coit Rd.</t>
  </si>
  <si>
    <t>Shannon Ortleb</t>
  </si>
  <si>
    <t>Will Henderson</t>
  </si>
  <si>
    <t>Fair Park Landing</t>
  </si>
  <si>
    <t>3201 Al Lipscomb Way</t>
  </si>
  <si>
    <t>1401 S Watson Rd</t>
  </si>
  <si>
    <t>Arlington</t>
  </si>
  <si>
    <t>Chris Applequist</t>
  </si>
  <si>
    <t>HiLine at Everman</t>
  </si>
  <si>
    <t>1904 W Everman Pkwy</t>
  </si>
  <si>
    <t>McKinney</t>
  </si>
  <si>
    <t>Collin</t>
  </si>
  <si>
    <t>Joseph Agumadu</t>
  </si>
  <si>
    <t>Ikemefuna Enemkpali</t>
  </si>
  <si>
    <t>Eagle Ford Townhomes</t>
  </si>
  <si>
    <t>Megan Lasch</t>
  </si>
  <si>
    <t>McAdams Haven</t>
  </si>
  <si>
    <t>NWC Lindsey St and Bernard St</t>
  </si>
  <si>
    <t>Carrie Baugus</t>
  </si>
  <si>
    <t>Envoy64</t>
  </si>
  <si>
    <t>1415 W Airport Fwy</t>
  </si>
  <si>
    <t>Irving</t>
  </si>
  <si>
    <t>Irving Lofts</t>
  </si>
  <si>
    <t>1108 N Anglin St</t>
  </si>
  <si>
    <t>Cleburne</t>
  </si>
  <si>
    <t>Johnson</t>
  </si>
  <si>
    <t>The James at Wheatland</t>
  </si>
  <si>
    <t>Michael Tibbetts</t>
  </si>
  <si>
    <t>Liberty Senior Living</t>
  </si>
  <si>
    <t>Hurst</t>
  </si>
  <si>
    <t>Melissa Fisher</t>
  </si>
  <si>
    <t>The Meadow</t>
  </si>
  <si>
    <t>8130 Meadow Rd</t>
  </si>
  <si>
    <t>The Magnolia</t>
  </si>
  <si>
    <t>1401 Commerce Street</t>
  </si>
  <si>
    <t>SWC Utzman St and Parkview St</t>
  </si>
  <si>
    <t>Kilgore</t>
  </si>
  <si>
    <t>Gregg</t>
  </si>
  <si>
    <t>Doak Brown</t>
  </si>
  <si>
    <t>Michael Fogel</t>
  </si>
  <si>
    <t>Mount Pleasant Trails</t>
  </si>
  <si>
    <t>N side of Tennison Rd, Approx 2150 ft East of S Jefferson Ave</t>
  </si>
  <si>
    <t>Mount Pleasant</t>
  </si>
  <si>
    <t>Titus</t>
  </si>
  <si>
    <t>Karim Jooma</t>
  </si>
  <si>
    <t>Landmark on Pine</t>
  </si>
  <si>
    <t>SWC W 4th St and Pine St</t>
  </si>
  <si>
    <t>Texarkana</t>
  </si>
  <si>
    <t>Bowie</t>
  </si>
  <si>
    <t>Michael Tamez</t>
  </si>
  <si>
    <t>Union Grove</t>
  </si>
  <si>
    <t>2911 Old Union Rd</t>
  </si>
  <si>
    <t>Lufkin</t>
  </si>
  <si>
    <t>Angelina</t>
  </si>
  <si>
    <t>Jacob Mooney</t>
  </si>
  <si>
    <t>Beaumont</t>
  </si>
  <si>
    <t>Jefferson</t>
  </si>
  <si>
    <t>Villages at Orange</t>
  </si>
  <si>
    <t>Orange</t>
  </si>
  <si>
    <t>Riva Ridge</t>
  </si>
  <si>
    <t>Sealy</t>
  </si>
  <si>
    <t>Janine Sisak</t>
  </si>
  <si>
    <t>Andrew Sinnott</t>
  </si>
  <si>
    <t>Harris</t>
  </si>
  <si>
    <t>Oscar Sol</t>
  </si>
  <si>
    <t>Diana Mansur</t>
  </si>
  <si>
    <t>Hartwood at Windstone</t>
  </si>
  <si>
    <t>Nathan Kelley</t>
  </si>
  <si>
    <t>The Ashbourne</t>
  </si>
  <si>
    <t>9677 S Kirkwood Rd</t>
  </si>
  <si>
    <t>Jessica Mullins</t>
  </si>
  <si>
    <t>Logan Kieweg</t>
  </si>
  <si>
    <t>Cedar Brook Village</t>
  </si>
  <si>
    <t>Trinity East Senior</t>
  </si>
  <si>
    <t>2620 Live Oak Street</t>
  </si>
  <si>
    <t>John Hoffer</t>
  </si>
  <si>
    <t>Lauren Avioli</t>
  </si>
  <si>
    <t>Jayden Johnson</t>
  </si>
  <si>
    <t>Chris Dart</t>
  </si>
  <si>
    <t>Jennifer Bartlett</t>
  </si>
  <si>
    <t>SEC of Blackhawk Blvd and Texas Sage Drive</t>
  </si>
  <si>
    <t>Riverside Garden Villas</t>
  </si>
  <si>
    <t>SWC of Riverside Grove and Addicks Clodine Road</t>
  </si>
  <si>
    <t>Fort Bend</t>
  </si>
  <si>
    <t>Labrador Trails</t>
  </si>
  <si>
    <t>14201 Labrador</t>
  </si>
  <si>
    <t>Kingfield Trails</t>
  </si>
  <si>
    <t>15606 Kingfield</t>
  </si>
  <si>
    <t>Landmark 601</t>
  </si>
  <si>
    <t>601 W Lewis St</t>
  </si>
  <si>
    <t>Conroe</t>
  </si>
  <si>
    <t>Emily Abeln</t>
  </si>
  <si>
    <t>Michael Sciortino</t>
  </si>
  <si>
    <t>New Hope Housing Bissonnet</t>
  </si>
  <si>
    <t>Ron Lastimosa</t>
  </si>
  <si>
    <t>Katie Stewart-Anchondo</t>
  </si>
  <si>
    <t>Pine Creek Apartments</t>
  </si>
  <si>
    <t>Bastrop</t>
  </si>
  <si>
    <t>Pathways at Santa Rita Courts West</t>
  </si>
  <si>
    <t>Suzanne Schwertner</t>
  </si>
  <si>
    <t>Waverly North</t>
  </si>
  <si>
    <t>3710 Cedar Street</t>
  </si>
  <si>
    <t>Crossroads Redevelopment</t>
  </si>
  <si>
    <t>Sabrina Butler</t>
  </si>
  <si>
    <t>Tillie Croxdale</t>
  </si>
  <si>
    <t>Hillsboro Trails</t>
  </si>
  <si>
    <t>NEQ Old Brandon Rd and Dynasty Dr</t>
  </si>
  <si>
    <t>Hillsboro</t>
  </si>
  <si>
    <t>Hill</t>
  </si>
  <si>
    <t>Gatesville Terrace</t>
  </si>
  <si>
    <t>NWC Old Osage Rd and Cedar Ridge Rd</t>
  </si>
  <si>
    <t>Gatesville</t>
  </si>
  <si>
    <t>Coryell</t>
  </si>
  <si>
    <t>Historic Lofts of Waco High</t>
  </si>
  <si>
    <t>815 Columbus Ave</t>
  </si>
  <si>
    <t>Brannon Fitch</t>
  </si>
  <si>
    <t>Anderea Gonzalez</t>
  </si>
  <si>
    <t>925 N. 18th Street</t>
  </si>
  <si>
    <t>Meadowbrook Apartments</t>
  </si>
  <si>
    <t>Robinson</t>
  </si>
  <si>
    <t>Abbington Station</t>
  </si>
  <si>
    <t>SEC of 7th Street and Austin Street</t>
  </si>
  <si>
    <t>Pleasanton</t>
  </si>
  <si>
    <t>Atascosa</t>
  </si>
  <si>
    <t>The Legacy at Lackland</t>
  </si>
  <si>
    <t>S of SW Loop 410 and Medina Base Rd</t>
  </si>
  <si>
    <t>San Antonio</t>
  </si>
  <si>
    <t>Bexar</t>
  </si>
  <si>
    <t>Vista Palms</t>
  </si>
  <si>
    <t>SE of Old Pearsall Rd and Five Palms Dr</t>
  </si>
  <si>
    <t>Jason Arechiga</t>
  </si>
  <si>
    <t>Tezel Road Apartments</t>
  </si>
  <si>
    <t>Approximately 6054 Tezel Rd</t>
  </si>
  <si>
    <t>Bradford McMurray</t>
  </si>
  <si>
    <t>Cindy Marquez</t>
  </si>
  <si>
    <t>Village at Ellison</t>
  </si>
  <si>
    <t>Village at the Oaks</t>
  </si>
  <si>
    <t>Heritage Estates at Medina</t>
  </si>
  <si>
    <t>The Judy at VIDA</t>
  </si>
  <si>
    <t>Pedro Alanis</t>
  </si>
  <si>
    <t>Thomas Roth</t>
  </si>
  <si>
    <t>Culebra Apartments</t>
  </si>
  <si>
    <t>Village at Pearsall</t>
  </si>
  <si>
    <t>Janice Degollado</t>
  </si>
  <si>
    <t>Robstown</t>
  </si>
  <si>
    <t>Nueces</t>
  </si>
  <si>
    <t>The Lantern at Robstown</t>
  </si>
  <si>
    <t>NWC of CR 44 and CR 69</t>
  </si>
  <si>
    <t>Casitas Los Ebanos</t>
  </si>
  <si>
    <t>US-77 Business</t>
  </si>
  <si>
    <t>Kingsville</t>
  </si>
  <si>
    <t>Kleberg</t>
  </si>
  <si>
    <t>Leo Barrera</t>
  </si>
  <si>
    <t>David Kowalski</t>
  </si>
  <si>
    <t>Palo Verde Senior Apartments</t>
  </si>
  <si>
    <t>5501 Huntwick Ave</t>
  </si>
  <si>
    <t>Corpus Christi</t>
  </si>
  <si>
    <t>Bayside Apartments</t>
  </si>
  <si>
    <t>5409 Lipes Blvd</t>
  </si>
  <si>
    <t>Lantana Villas</t>
  </si>
  <si>
    <t>Eagle Pass Apartments</t>
  </si>
  <si>
    <t>2520 N Veterans Blvd</t>
  </si>
  <si>
    <t>Eagle Pass</t>
  </si>
  <si>
    <t>Maverick</t>
  </si>
  <si>
    <t>Mandalay</t>
  </si>
  <si>
    <t>Palmview</t>
  </si>
  <si>
    <t>Brownsville</t>
  </si>
  <si>
    <t>Las Fuentes</t>
  </si>
  <si>
    <t>2801 Leonor Street</t>
  </si>
  <si>
    <t>Pharr</t>
  </si>
  <si>
    <t>Lazaro Guerra</t>
  </si>
  <si>
    <t>David Salazar</t>
  </si>
  <si>
    <t>Meadow Heights</t>
  </si>
  <si>
    <t>1120 W Gore Ave</t>
  </si>
  <si>
    <t>McAllen</t>
  </si>
  <si>
    <t>Victoria Gardens</t>
  </si>
  <si>
    <t>1809 Grant St</t>
  </si>
  <si>
    <t>Carla Mancha</t>
  </si>
  <si>
    <t>Villas at Primrose</t>
  </si>
  <si>
    <t>Big Spring Lofts</t>
  </si>
  <si>
    <t>Big Spring</t>
  </si>
  <si>
    <t>Howard</t>
  </si>
  <si>
    <t>San Angelo</t>
  </si>
  <si>
    <t>Tom Green</t>
  </si>
  <si>
    <t>The Madelyn</t>
  </si>
  <si>
    <t>4125 Ben Ficklin Road</t>
  </si>
  <si>
    <t>The Rosie</t>
  </si>
  <si>
    <t>El Paso</t>
  </si>
  <si>
    <t>Satish Bhaskar</t>
  </si>
  <si>
    <t>Pebble Hills Place</t>
  </si>
  <si>
    <t>SWC of N Zaragoza Rd and Pebble Hills Blvd</t>
  </si>
  <si>
    <t>Villas at Augusta</t>
  </si>
  <si>
    <t>SWC of Augusta Dr and Zaragoza Road</t>
  </si>
  <si>
    <t>Roy Lopez</t>
  </si>
  <si>
    <t>Ike Monty</t>
  </si>
  <si>
    <t>Pebble Hills Estates</t>
  </si>
  <si>
    <t>NWC Charles Foster Ave and John Hayes St</t>
  </si>
  <si>
    <t>Ridgestone Seniors</t>
  </si>
  <si>
    <t>11040 Montana Ave</t>
  </si>
  <si>
    <t xml:space="preserve">Notes </t>
  </si>
  <si>
    <t>X</t>
  </si>
  <si>
    <t>Applications:</t>
  </si>
  <si>
    <t>Total Score</t>
  </si>
  <si>
    <t>Acquisition/Rehab</t>
  </si>
  <si>
    <t>Azle Oaks Apartments</t>
  </si>
  <si>
    <t xml:space="preserve">Azle </t>
  </si>
  <si>
    <t>Country Village Apartments</t>
  </si>
  <si>
    <t>Christina Wright</t>
  </si>
  <si>
    <t>915 E. Hanson St.</t>
  </si>
  <si>
    <t xml:space="preserve">Eberhart Place </t>
  </si>
  <si>
    <t>78745-2993</t>
  </si>
  <si>
    <t>T. Daniel Kalubi</t>
  </si>
  <si>
    <t>~2699 Conway Ave</t>
  </si>
  <si>
    <t xml:space="preserve">North Crest Apartments </t>
  </si>
  <si>
    <t>4200 N 19th St &amp; 2005 Steward Dr</t>
  </si>
  <si>
    <t>McLennan</t>
  </si>
  <si>
    <t>1443 Coronado Hills</t>
  </si>
  <si>
    <t>1195 TX-327</t>
  </si>
  <si>
    <t>Reconstruction</t>
  </si>
  <si>
    <t>Meghan Cano</t>
  </si>
  <si>
    <t>Eleanor M.C. Fanning</t>
  </si>
  <si>
    <t>The Watson (fka Watson Apartments)</t>
  </si>
  <si>
    <t>Sarah Andre</t>
  </si>
  <si>
    <t xml:space="preserve">Palladium Denton West Living </t>
  </si>
  <si>
    <t xml:space="preserve">NEQ of Fallmeadow Street and Gardenview Street </t>
  </si>
  <si>
    <t>Thomas E. Huth</t>
  </si>
  <si>
    <t>Taylor Thomas</t>
  </si>
  <si>
    <t xml:space="preserve">McKinney Ranch Senior Living </t>
  </si>
  <si>
    <t xml:space="preserve">5353 McKinney Ranch Parkway </t>
  </si>
  <si>
    <t>6000 Eagle Ford Dr</t>
  </si>
  <si>
    <t>Supportive Housing</t>
  </si>
  <si>
    <t>7100 W Wheatland Rd.</t>
  </si>
  <si>
    <t>824 W Pipeline Rd</t>
  </si>
  <si>
    <t>Lisa Fisher</t>
  </si>
  <si>
    <t>Bill Fisher</t>
  </si>
  <si>
    <t>Jess Krochtengel</t>
  </si>
  <si>
    <t>Zachary Krochtengel</t>
  </si>
  <si>
    <t>Reserve at  Kilgore</t>
  </si>
  <si>
    <t>~1717 MLK Jr Dr.</t>
  </si>
  <si>
    <t>SEQ Concord Rd &amp; Gober Rd</t>
  </si>
  <si>
    <t>CJ Lintner</t>
  </si>
  <si>
    <t xml:space="preserve">Heritage Park </t>
  </si>
  <si>
    <t>581 Acres Lane</t>
  </si>
  <si>
    <t>19735 Clay Rd.</t>
  </si>
  <si>
    <t>Jela Henderson</t>
  </si>
  <si>
    <t>Approx 7401 Little York Rd</t>
  </si>
  <si>
    <t>CSH Silverleaf Senior Living, Ltd.</t>
  </si>
  <si>
    <t>Russ Michaels</t>
  </si>
  <si>
    <t xml:space="preserve">Connect Hillcroft </t>
  </si>
  <si>
    <t>6420 Hillcroft Avenue</t>
  </si>
  <si>
    <t>~Bissonnet and Hwy 6 at Castlemont</t>
  </si>
  <si>
    <t>Hwy 71 &amp; Lovers Lane (108 Lovers Lane)</t>
  </si>
  <si>
    <t>8801 McCann Dr.</t>
  </si>
  <si>
    <t>Approx. 2210 E. 2nd</t>
  </si>
  <si>
    <t>Residences at Seley Park Senior Living</t>
  </si>
  <si>
    <t>510 N Old. Robinson Rd</t>
  </si>
  <si>
    <t xml:space="preserve">Enrique Flores, IV </t>
  </si>
  <si>
    <t>SWC I-410 and Medina Base Rd</t>
  </si>
  <si>
    <t>0 Culebra Rd and Grissom</t>
  </si>
  <si>
    <t xml:space="preserve">6802 Marbach Lofts												</t>
  </si>
  <si>
    <t xml:space="preserve">Approx 6832 Marbach Rd												</t>
  </si>
  <si>
    <t xml:space="preserve">Jason Arechiga													</t>
  </si>
  <si>
    <t xml:space="preserve">Anne Tyler													</t>
  </si>
  <si>
    <t>Anne Tyler</t>
  </si>
  <si>
    <t>1460 S Ellison Dr</t>
  </si>
  <si>
    <t>4611 Thousand Oaks Dr</t>
  </si>
  <si>
    <t>5500-5600 Old Pearsall Road</t>
  </si>
  <si>
    <t>Approx. 10345 Zarzamora</t>
  </si>
  <si>
    <t>San Diego Creek</t>
  </si>
  <si>
    <t>1499 Easterling Dr</t>
  </si>
  <si>
    <t>Alice</t>
  </si>
  <si>
    <t>Jim Wells</t>
  </si>
  <si>
    <t>Enrique Flores, IV</t>
  </si>
  <si>
    <t>Approximately the 600 Block of East Coma Avenue</t>
  </si>
  <si>
    <t>Clifton E. Phillips</t>
  </si>
  <si>
    <t>Mercedez Carr Acuna</t>
  </si>
  <si>
    <t>Approximately the south side of the 600 Block of West Veterans Blvd.</t>
  </si>
  <si>
    <t>SEQ of Buddy Owens Blvd. &amp; N. Ware Rd.</t>
  </si>
  <si>
    <t>~130 ft. N. of NWC of Sunset Ave. &amp; Birdwell Ln.</t>
  </si>
  <si>
    <t>Lofts at Birdwell</t>
  </si>
  <si>
    <t>Mario Trevino</t>
  </si>
  <si>
    <t>SEQ of Cap Carter Rd and Doniphan Dr</t>
  </si>
  <si>
    <t>Vinton</t>
  </si>
  <si>
    <t xml:space="preserve"> </t>
  </si>
  <si>
    <t xml:space="preserve">  </t>
  </si>
  <si>
    <t xml:space="preserve">X </t>
  </si>
  <si>
    <t>AcR/NC</t>
  </si>
  <si>
    <t>NC/AR</t>
  </si>
  <si>
    <t>Recon/NC</t>
  </si>
  <si>
    <t xml:space="preserve">Withdrawn </t>
  </si>
  <si>
    <t>Elderly Limit</t>
  </si>
  <si>
    <t xml:space="preserve">Elderly Limit </t>
  </si>
  <si>
    <t>Scoring Notice 5/22</t>
  </si>
  <si>
    <t>Limited Scoring Notice 5/21</t>
  </si>
  <si>
    <t>Limited Scoring Notice 3/25</t>
  </si>
  <si>
    <t>HUD Choice Neighborhood. Scoring Notice 6/6</t>
  </si>
  <si>
    <t>Scoring Notice 6/6</t>
  </si>
  <si>
    <t>Appeal Granted 6/4</t>
  </si>
  <si>
    <t xml:space="preserve">Underwriting DNR </t>
  </si>
  <si>
    <t>9% HTC Returns</t>
  </si>
  <si>
    <t>The list below includes any credits returned to the Department that are reflected in the estimated amount available to allocate in the Application Log. Applicants that identify inaccurate or missing entries on this list should contact Josh Goldberger at Joshua.Goldberger@tdhca.texas.gov</t>
  </si>
  <si>
    <t>Return Amount</t>
  </si>
  <si>
    <t>Date of Return</t>
  </si>
  <si>
    <t xml:space="preserve">East Texas Apartments </t>
  </si>
  <si>
    <t xml:space="preserve">Estacado Estates </t>
  </si>
  <si>
    <t xml:space="preserve">Elsie Manor </t>
  </si>
  <si>
    <t xml:space="preserve">Pecan Grove </t>
  </si>
  <si>
    <t xml:space="preserve">Heights at MacArthur </t>
  </si>
  <si>
    <t>10112 Bissonnet Living</t>
  </si>
  <si>
    <t>Scoring Notice 6/23</t>
  </si>
  <si>
    <t>This list is being provided in advance of the meeting of the Department's Governing Board to be held on July 24, 2025, at which final allocations of Housing Tax Credits will be recommended for approval.  This list does not constitute an award or commitment of funding, nor does it guarantee that an award of funding will be recommended to the Governing Board.  This list is tentative in nature and is therefore subject to change, and is being provided so that interested parties may engage with Department staff to resolve any questions or concerns regarding the list, itself, as may be permitted under relevant statute and rules.  TDHCA staff does not have the authority to make allocations of credits, and under no circumstances should any interested party definitively conclude that an award will be recommended based on the list.  With questions or concerns, please contact Cody Campbell, Director of Multifamily Programs, at cody.campbell@tdhca.state.tx.us as soon as possible.</t>
  </si>
  <si>
    <t xml:space="preserve">Terminated </t>
  </si>
  <si>
    <t>Terminated</t>
  </si>
  <si>
    <t>Withdrawn</t>
  </si>
  <si>
    <t>Tentative Recommendation</t>
  </si>
  <si>
    <t>Review Status</t>
  </si>
  <si>
    <t>Prev. Participation Review Status</t>
  </si>
  <si>
    <t>Underwriting Status</t>
  </si>
  <si>
    <t>Award</t>
  </si>
  <si>
    <t>C</t>
  </si>
  <si>
    <t>UR</t>
  </si>
  <si>
    <t xml:space="preserve">UR </t>
  </si>
  <si>
    <t>Tentative Award and Waiting List Recommendations</t>
  </si>
  <si>
    <t>Version Date:  July 18, 2025</t>
  </si>
  <si>
    <t xml:space="preserve">Underwriting Appeal Pending </t>
  </si>
  <si>
    <t>Award/Pending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</si>
</sst>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6" formatCode="&quot;$&quot;#,##0_);[Red]\(&quot;$&quot;#,##0\)"/>
    <numFmt numFmtId="44" formatCode="_(&quot;$&quot;* #,##0.00_);_(&quot;$&quot;* \(#,##0.00\);_(&quot;$&quot;* &quot;-&quot;??_);_(@_)"/>
    <numFmt numFmtId="43" formatCode="_(* #,##0.00_);_(* \(#,##0.00\);_(* &quot;-&quot;??_);_(@_)"/>
    <numFmt numFmtId="164" formatCode="_(* #,##0_);_(* \(#,##0\);_(* &quot;-&quot;??_);_(@_)"/>
    <numFmt numFmtId="165" formatCode="_(* #,##0.0_);_(* \(#,##0.0\);_(* &quot;-&quot;??_);_(@_)"/>
  </numFmts>
  <fonts count="21" x14ac:knownFonts="1">
    <font>
      <sz val="11"/>
      <color rgb="FF000000"/>
      <name val="Calibri"/>
    </font>
    <font>
      <sz val="11"/>
      <color rgb="FF000000"/>
      <name val="Calibri"/>
      <family val="2"/>
    </font>
    <font>
      <sz val="10"/>
      <color indexed="8"/>
      <name val="Arial"/>
      <family val="2"/>
    </font>
    <font>
      <b/>
      <sz val="10"/>
      <color indexed="8"/>
      <name val="Calibri"/>
      <family val="2"/>
      <scheme val="minor"/>
    </font>
    <font>
      <sz val="10"/>
      <color theme="1"/>
      <name val="Calibri"/>
      <family val="2"/>
      <scheme val="minor"/>
    </font>
    <font>
      <b/>
      <sz val="16"/>
      <color rgb="FF000000"/>
      <name val="Cambria"/>
      <family val="1"/>
    </font>
    <font>
      <sz val="10"/>
      <color indexed="8"/>
      <name val="Cambria"/>
      <family val="1"/>
    </font>
    <font>
      <sz val="10"/>
      <color rgb="FF000000"/>
      <name val="Calibri"/>
      <family val="2"/>
    </font>
    <font>
      <b/>
      <sz val="10"/>
      <color rgb="FF000000"/>
      <name val="Cambria"/>
      <family val="1"/>
    </font>
    <font>
      <b/>
      <u/>
      <sz val="10"/>
      <color indexed="8"/>
      <name val="Cambria"/>
      <family val="1"/>
    </font>
    <font>
      <b/>
      <sz val="10"/>
      <color indexed="8"/>
      <name val="Cambria"/>
      <family val="1"/>
    </font>
    <font>
      <sz val="10"/>
      <color indexed="8"/>
      <name val="Calibri"/>
      <family val="2"/>
      <scheme val="minor"/>
    </font>
    <font>
      <sz val="10"/>
      <color rgb="FF000000"/>
      <name val="Calibri"/>
      <family val="2"/>
      <scheme val="minor"/>
    </font>
    <font>
      <b/>
      <sz val="10"/>
      <color rgb="FF000000"/>
      <name val="Calibri"/>
      <family val="2"/>
      <scheme val="minor"/>
    </font>
    <font>
      <b/>
      <sz val="10"/>
      <color rgb="FF000000"/>
      <name val="Calibri"/>
      <family val="2"/>
    </font>
    <font>
      <b/>
      <sz val="10"/>
      <color theme="1"/>
      <name val="Calibri"/>
      <family val="2"/>
      <scheme val="minor"/>
    </font>
    <font>
      <b/>
      <sz val="10"/>
      <color rgb="FF000000"/>
      <name val="Garamond"/>
      <family val="1"/>
    </font>
    <font>
      <sz val="8"/>
      <name val="Calibri"/>
    </font>
    <font>
      <b/>
      <sz val="16"/>
      <color rgb="FF000000"/>
      <name val="Cambria"/>
      <family val="1"/>
      <scheme val="major"/>
    </font>
    <font>
      <b/>
      <sz val="9"/>
      <color rgb="FF000000"/>
      <name val="Calibri"/>
      <family val="2"/>
    </font>
    <font>
      <b/>
      <sz val="9"/>
      <color indexed="8"/>
      <name val="Calibri"/>
      <family val="2"/>
      <scheme val="minor"/>
    </font>
  </fonts>
  <fills count="8">
    <fill>
      <patternFill patternType="none"/>
    </fill>
    <fill>
      <patternFill patternType="gray125"/>
    </fill>
    <fill>
      <patternFill patternType="solid">
        <fgColor theme="0" tint="-0.14999847407452621"/>
        <bgColor indexed="0"/>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top/>
      <bottom style="thin">
        <color indexed="8"/>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0" fontId="2" fillId="0" borderId="0"/>
    <xf numFmtId="43" fontId="1" fillId="0" borderId="0" applyFont="0" applyFill="0" applyBorder="0" applyAlignment="0" applyProtection="0"/>
  </cellStyleXfs>
  <cellXfs count="137">
    <xf numFmtId="0" fontId="0" fillId="0" borderId="0" xfId="0"/>
    <xf numFmtId="0" fontId="3" fillId="2" borderId="2" xfId="2" applyFont="1" applyFill="1" applyBorder="1" applyAlignment="1">
      <alignment horizontal="center" wrapText="1"/>
    </xf>
    <xf numFmtId="0" fontId="3" fillId="2" borderId="3" xfId="2" applyFont="1" applyFill="1" applyBorder="1" applyAlignment="1">
      <alignment horizontal="center" wrapText="1"/>
    </xf>
    <xf numFmtId="0" fontId="3" fillId="2" borderId="3" xfId="2" applyFont="1" applyFill="1" applyBorder="1" applyAlignment="1">
      <alignment horizontal="center" textRotation="90" wrapText="1"/>
    </xf>
    <xf numFmtId="0" fontId="4" fillId="0" borderId="0" xfId="0" applyFont="1" applyAlignment="1">
      <alignment wrapText="1"/>
    </xf>
    <xf numFmtId="0" fontId="5" fillId="0" borderId="0" xfId="0" applyFont="1" applyAlignment="1">
      <alignment horizontal="left"/>
    </xf>
    <xf numFmtId="0" fontId="5" fillId="0" borderId="0" xfId="0" applyFont="1"/>
    <xf numFmtId="0" fontId="7" fillId="0" borderId="0" xfId="0" applyFont="1"/>
    <xf numFmtId="0" fontId="7" fillId="0" borderId="0" xfId="0" applyFont="1" applyAlignment="1"/>
    <xf numFmtId="0" fontId="8" fillId="0" borderId="0" xfId="0" applyFont="1"/>
    <xf numFmtId="0" fontId="3" fillId="0" borderId="0" xfId="2" applyFont="1" applyFill="1" applyBorder="1" applyAlignment="1">
      <alignment horizontal="center" textRotation="90" wrapText="1"/>
    </xf>
    <xf numFmtId="0" fontId="3" fillId="0" borderId="0" xfId="2" applyFont="1" applyFill="1" applyBorder="1" applyAlignment="1">
      <alignment horizontal="center" wrapText="1"/>
    </xf>
    <xf numFmtId="0" fontId="3" fillId="0" borderId="0" xfId="2" applyFont="1" applyFill="1" applyBorder="1" applyAlignment="1">
      <alignment horizontal="left" wrapText="1"/>
    </xf>
    <xf numFmtId="0" fontId="7" fillId="0" borderId="0" xfId="0" applyFont="1" applyFill="1"/>
    <xf numFmtId="0" fontId="4" fillId="0" borderId="0" xfId="0" applyFont="1" applyFill="1" applyAlignment="1">
      <alignment wrapText="1"/>
    </xf>
    <xf numFmtId="0" fontId="11" fillId="4" borderId="0" xfId="2" applyFont="1" applyFill="1" applyBorder="1" applyAlignment="1">
      <alignment vertical="top" wrapText="1"/>
    </xf>
    <xf numFmtId="0" fontId="12" fillId="0" borderId="0" xfId="0" applyFont="1"/>
    <xf numFmtId="0" fontId="3" fillId="4" borderId="0" xfId="2" applyFont="1" applyFill="1" applyBorder="1" applyAlignment="1">
      <alignment horizontal="right" vertical="top"/>
    </xf>
    <xf numFmtId="0" fontId="12" fillId="0" borderId="0" xfId="0" applyFont="1" applyAlignment="1"/>
    <xf numFmtId="0" fontId="3" fillId="4" borderId="0" xfId="2" applyFont="1" applyFill="1" applyBorder="1" applyAlignment="1">
      <alignment vertical="top" wrapText="1"/>
    </xf>
    <xf numFmtId="0" fontId="14" fillId="3" borderId="1" xfId="0" applyFont="1" applyFill="1" applyBorder="1" applyAlignment="1">
      <alignment textRotation="90" wrapText="1"/>
    </xf>
    <xf numFmtId="0" fontId="7" fillId="0" borderId="0" xfId="0" applyFont="1" applyAlignment="1">
      <alignment horizontal="center"/>
    </xf>
    <xf numFmtId="0" fontId="12" fillId="0" borderId="0" xfId="0" applyFont="1" applyAlignment="1">
      <alignment horizontal="center"/>
    </xf>
    <xf numFmtId="0" fontId="4" fillId="0" borderId="0" xfId="0" applyFont="1" applyFill="1" applyBorder="1" applyAlignment="1">
      <alignment horizontal="justify" vertical="center" wrapText="1"/>
    </xf>
    <xf numFmtId="0" fontId="13" fillId="0" borderId="0" xfId="0" applyNumberFormat="1" applyFont="1"/>
    <xf numFmtId="0" fontId="14" fillId="0" borderId="0" xfId="0" applyFont="1"/>
    <xf numFmtId="5" fontId="7" fillId="0" borderId="0" xfId="0" applyNumberFormat="1" applyFont="1" applyAlignment="1"/>
    <xf numFmtId="0" fontId="14" fillId="0" borderId="0" xfId="0" applyFont="1" applyAlignment="1">
      <alignment horizontal="center"/>
    </xf>
    <xf numFmtId="0" fontId="14" fillId="0" borderId="6" xfId="0" applyFont="1" applyFill="1" applyBorder="1" applyAlignment="1"/>
    <xf numFmtId="0" fontId="0" fillId="0" borderId="0" xfId="0" applyAlignment="1">
      <alignment vertical="top" wrapText="1"/>
    </xf>
    <xf numFmtId="0" fontId="0" fillId="0" borderId="0" xfId="0" applyAlignment="1">
      <alignment vertical="top"/>
    </xf>
    <xf numFmtId="0" fontId="11" fillId="4" borderId="0" xfId="2" applyFont="1" applyFill="1" applyBorder="1" applyAlignment="1">
      <alignment wrapText="1"/>
    </xf>
    <xf numFmtId="0" fontId="13" fillId="0" borderId="0" xfId="0" applyNumberFormat="1" applyFont="1" applyAlignment="1"/>
    <xf numFmtId="0" fontId="3" fillId="4" borderId="0" xfId="2" applyFont="1" applyFill="1" applyBorder="1" applyAlignment="1">
      <alignment horizontal="right"/>
    </xf>
    <xf numFmtId="0" fontId="0" fillId="0" borderId="0" xfId="0" applyAlignment="1"/>
    <xf numFmtId="0" fontId="7" fillId="0" borderId="0" xfId="0" applyFont="1" applyFill="1" applyAlignment="1"/>
    <xf numFmtId="0" fontId="3" fillId="0" borderId="0" xfId="2" applyFont="1" applyFill="1" applyBorder="1" applyAlignment="1">
      <alignment horizontal="center"/>
    </xf>
    <xf numFmtId="164" fontId="7" fillId="0" borderId="0" xfId="3" applyNumberFormat="1" applyFont="1" applyAlignment="1"/>
    <xf numFmtId="164" fontId="0" fillId="0" borderId="0" xfId="3" applyNumberFormat="1" applyFont="1"/>
    <xf numFmtId="164" fontId="3" fillId="2" borderId="3" xfId="3" applyNumberFormat="1" applyFont="1" applyFill="1" applyBorder="1" applyAlignment="1">
      <alignment horizontal="center" wrapText="1"/>
    </xf>
    <xf numFmtId="164" fontId="3" fillId="0" borderId="0" xfId="3" applyNumberFormat="1" applyFont="1" applyFill="1" applyBorder="1" applyAlignment="1">
      <alignment horizontal="center" wrapText="1"/>
    </xf>
    <xf numFmtId="164" fontId="13" fillId="0" borderId="0" xfId="3" applyNumberFormat="1" applyFont="1"/>
    <xf numFmtId="164" fontId="7" fillId="0" borderId="0" xfId="3" applyNumberFormat="1" applyFont="1"/>
    <xf numFmtId="164" fontId="13" fillId="0" borderId="0" xfId="3" applyNumberFormat="1" applyFont="1" applyAlignment="1"/>
    <xf numFmtId="164" fontId="14" fillId="0" borderId="0" xfId="3" applyNumberFormat="1" applyFont="1" applyAlignment="1">
      <alignment horizontal="right"/>
    </xf>
    <xf numFmtId="0" fontId="7" fillId="0" borderId="0" xfId="0" applyFont="1" applyAlignment="1">
      <alignment vertical="top" wrapText="1"/>
    </xf>
    <xf numFmtId="0" fontId="7" fillId="0" borderId="0" xfId="0" applyFont="1" applyAlignment="1">
      <alignment horizontal="center" vertical="top" wrapText="1"/>
    </xf>
    <xf numFmtId="164" fontId="7" fillId="0" borderId="0" xfId="3" applyNumberFormat="1" applyFont="1" applyAlignment="1">
      <alignment vertical="top" wrapText="1"/>
    </xf>
    <xf numFmtId="164" fontId="7" fillId="0" borderId="0" xfId="3" applyNumberFormat="1" applyFont="1" applyFill="1"/>
    <xf numFmtId="0" fontId="6" fillId="0" borderId="0" xfId="0" applyFont="1" applyFill="1" applyBorder="1" applyAlignment="1">
      <alignment horizontal="left" vertical="center"/>
    </xf>
    <xf numFmtId="0" fontId="3" fillId="2" borderId="4" xfId="2" applyNumberFormat="1" applyFont="1" applyFill="1" applyBorder="1" applyAlignment="1">
      <alignment horizontal="center" textRotation="90"/>
    </xf>
    <xf numFmtId="0" fontId="14" fillId="0" borderId="0" xfId="0" applyFont="1" applyFill="1" applyBorder="1" applyAlignment="1"/>
    <xf numFmtId="0" fontId="6" fillId="0" borderId="0" xfId="0" applyFont="1" applyFill="1" applyBorder="1" applyAlignment="1">
      <alignment wrapText="1"/>
    </xf>
    <xf numFmtId="164" fontId="6" fillId="0" borderId="0" xfId="3" applyNumberFormat="1" applyFont="1" applyFill="1" applyBorder="1" applyAlignment="1">
      <alignment wrapText="1"/>
    </xf>
    <xf numFmtId="0" fontId="7" fillId="0" borderId="0" xfId="3" applyNumberFormat="1" applyFont="1" applyAlignment="1"/>
    <xf numFmtId="0" fontId="7" fillId="0" borderId="0" xfId="3" applyNumberFormat="1" applyFont="1"/>
    <xf numFmtId="0" fontId="6" fillId="0" borderId="0" xfId="3" applyNumberFormat="1" applyFont="1" applyFill="1" applyBorder="1" applyAlignment="1">
      <alignment wrapText="1"/>
    </xf>
    <xf numFmtId="0" fontId="6" fillId="0" borderId="0" xfId="3" applyNumberFormat="1" applyFont="1" applyFill="1" applyBorder="1" applyAlignment="1">
      <alignment horizontal="left" vertical="center" wrapText="1"/>
    </xf>
    <xf numFmtId="0" fontId="3" fillId="2" borderId="1" xfId="3" applyNumberFormat="1" applyFont="1" applyFill="1" applyBorder="1" applyAlignment="1">
      <alignment horizontal="center" wrapText="1"/>
    </xf>
    <xf numFmtId="0" fontId="3" fillId="0" borderId="0" xfId="3" applyNumberFormat="1" applyFont="1" applyFill="1" applyBorder="1" applyAlignment="1">
      <alignment horizontal="center" wrapText="1"/>
    </xf>
    <xf numFmtId="0" fontId="12" fillId="0" borderId="0" xfId="3" applyNumberFormat="1" applyFont="1"/>
    <xf numFmtId="0" fontId="7" fillId="0" borderId="0" xfId="3" applyNumberFormat="1" applyFont="1" applyAlignment="1">
      <alignment vertical="top" wrapText="1"/>
    </xf>
    <xf numFmtId="0" fontId="12" fillId="0" borderId="0" xfId="3" applyNumberFormat="1" applyFont="1" applyAlignment="1"/>
    <xf numFmtId="5" fontId="3" fillId="0" borderId="0" xfId="1" applyNumberFormat="1" applyFont="1" applyFill="1" applyBorder="1" applyAlignment="1">
      <alignment horizontal="left" vertical="top"/>
    </xf>
    <xf numFmtId="0" fontId="7" fillId="0" borderId="0" xfId="0" applyFont="1" applyFill="1" applyAlignment="1">
      <alignment vertical="top"/>
    </xf>
    <xf numFmtId="5" fontId="3" fillId="0" borderId="0" xfId="1" applyNumberFormat="1" applyFont="1" applyFill="1" applyBorder="1" applyAlignment="1">
      <alignment horizontal="left"/>
    </xf>
    <xf numFmtId="5" fontId="3" fillId="0" borderId="0" xfId="1" applyNumberFormat="1" applyFont="1" applyFill="1" applyBorder="1" applyAlignment="1">
      <alignment horizontal="left" vertical="top" wrapText="1"/>
    </xf>
    <xf numFmtId="5" fontId="7" fillId="0" borderId="0" xfId="0" applyNumberFormat="1" applyFont="1" applyFill="1"/>
    <xf numFmtId="5" fontId="14" fillId="0" borderId="0" xfId="0" applyNumberFormat="1" applyFont="1" applyFill="1" applyAlignment="1">
      <alignment horizontal="left"/>
    </xf>
    <xf numFmtId="0" fontId="7" fillId="0" borderId="0" xfId="0" applyFont="1" applyFill="1" applyAlignment="1">
      <alignment horizontal="center"/>
    </xf>
    <xf numFmtId="0" fontId="12" fillId="0" borderId="0" xfId="0" applyFont="1" applyFill="1"/>
    <xf numFmtId="0" fontId="14" fillId="0" borderId="0" xfId="0" applyFont="1" applyFill="1"/>
    <xf numFmtId="0" fontId="12" fillId="0" borderId="0" xfId="0" applyFont="1" applyFill="1" applyAlignment="1">
      <alignment horizontal="center"/>
    </xf>
    <xf numFmtId="0" fontId="7" fillId="0" borderId="0" xfId="0" applyFont="1" applyFill="1" applyAlignment="1">
      <alignment vertical="top" wrapText="1"/>
    </xf>
    <xf numFmtId="0" fontId="7" fillId="0" borderId="0" xfId="0" applyFont="1" applyFill="1" applyAlignment="1">
      <alignment horizontal="center" vertical="top" wrapText="1"/>
    </xf>
    <xf numFmtId="0" fontId="7" fillId="0" borderId="0" xfId="0" applyFont="1" applyFill="1" applyAlignment="1">
      <alignment horizontal="right"/>
    </xf>
    <xf numFmtId="0" fontId="12" fillId="0" borderId="0" xfId="0" applyFont="1" applyFill="1" applyAlignment="1">
      <alignment horizontal="right"/>
    </xf>
    <xf numFmtId="0" fontId="16" fillId="0" borderId="0" xfId="0" applyFont="1" applyFill="1" applyBorder="1"/>
    <xf numFmtId="0" fontId="12" fillId="0" borderId="0" xfId="0" applyFont="1" applyFill="1" applyAlignment="1"/>
    <xf numFmtId="0" fontId="14" fillId="0" borderId="0" xfId="0" applyFont="1" applyFill="1" applyAlignment="1">
      <alignment horizontal="center"/>
    </xf>
    <xf numFmtId="0" fontId="0" fillId="3" borderId="0" xfId="0" applyFill="1"/>
    <xf numFmtId="164" fontId="14" fillId="0" borderId="0" xfId="3" applyNumberFormat="1" applyFont="1" applyFill="1" applyBorder="1" applyAlignment="1"/>
    <xf numFmtId="164" fontId="0" fillId="0" borderId="0" xfId="3" applyNumberFormat="1" applyFont="1" applyAlignment="1">
      <alignment vertical="top" wrapText="1"/>
    </xf>
    <xf numFmtId="164" fontId="0" fillId="0" borderId="0" xfId="3" applyNumberFormat="1" applyFont="1" applyAlignment="1"/>
    <xf numFmtId="0" fontId="7" fillId="0" borderId="0" xfId="0" applyFont="1" applyAlignment="1">
      <alignment wrapText="1"/>
    </xf>
    <xf numFmtId="0" fontId="0" fillId="0" borderId="0" xfId="0" applyAlignment="1">
      <alignment wrapText="1"/>
    </xf>
    <xf numFmtId="165" fontId="7" fillId="0" borderId="0" xfId="3" applyNumberFormat="1" applyFont="1" applyAlignment="1"/>
    <xf numFmtId="0" fontId="0" fillId="0" borderId="0" xfId="0" applyAlignment="1">
      <alignment horizontal="center"/>
    </xf>
    <xf numFmtId="0" fontId="0" fillId="0" borderId="0" xfId="0" applyAlignment="1">
      <alignment horizontal="center" vertical="top"/>
    </xf>
    <xf numFmtId="0" fontId="3" fillId="2" borderId="1" xfId="2" applyFont="1" applyFill="1" applyBorder="1" applyAlignment="1">
      <alignment textRotation="90" wrapText="1"/>
    </xf>
    <xf numFmtId="0" fontId="3" fillId="0" borderId="0" xfId="2" applyFont="1" applyFill="1" applyBorder="1" applyAlignment="1"/>
    <xf numFmtId="0" fontId="3" fillId="4" borderId="0" xfId="2" applyFont="1" applyFill="1" applyBorder="1" applyAlignment="1">
      <alignment vertical="top"/>
    </xf>
    <xf numFmtId="0" fontId="13" fillId="0" borderId="0" xfId="0" applyFont="1" applyAlignment="1"/>
    <xf numFmtId="0" fontId="14" fillId="0" borderId="0" xfId="0" applyFont="1" applyAlignment="1"/>
    <xf numFmtId="0" fontId="3" fillId="4" borderId="0" xfId="2" applyFont="1" applyFill="1" applyBorder="1" applyAlignment="1"/>
    <xf numFmtId="0" fontId="3" fillId="4" borderId="0" xfId="2" applyFont="1" applyFill="1" applyBorder="1" applyAlignment="1">
      <alignment wrapText="1"/>
    </xf>
    <xf numFmtId="0" fontId="0" fillId="0" borderId="0" xfId="0" applyAlignment="1">
      <alignment horizontal="left"/>
    </xf>
    <xf numFmtId="0" fontId="14" fillId="5" borderId="7" xfId="0" applyFont="1" applyFill="1" applyBorder="1" applyAlignment="1">
      <alignment horizontal="center"/>
    </xf>
    <xf numFmtId="0" fontId="14" fillId="5" borderId="8" xfId="0" applyFont="1" applyFill="1" applyBorder="1" applyAlignment="1">
      <alignment horizontal="center"/>
    </xf>
    <xf numFmtId="0" fontId="14" fillId="5" borderId="9" xfId="0" applyFont="1" applyFill="1" applyBorder="1" applyAlignment="1">
      <alignment horizontal="center"/>
    </xf>
    <xf numFmtId="0" fontId="7" fillId="0" borderId="1" xfId="0" applyFont="1" applyBorder="1" applyAlignment="1">
      <alignment horizontal="left"/>
    </xf>
    <xf numFmtId="6" fontId="7" fillId="0" borderId="1" xfId="1" applyNumberFormat="1" applyFont="1" applyBorder="1" applyAlignment="1">
      <alignment horizontal="left"/>
    </xf>
    <xf numFmtId="14" fontId="7" fillId="0" borderId="1" xfId="0" applyNumberFormat="1" applyFont="1" applyBorder="1" applyAlignment="1">
      <alignment horizontal="left"/>
    </xf>
    <xf numFmtId="6" fontId="0" fillId="0" borderId="0" xfId="0" applyNumberFormat="1"/>
    <xf numFmtId="0" fontId="1" fillId="0" borderId="0" xfId="0" applyFont="1" applyAlignment="1">
      <alignment horizontal="center"/>
    </xf>
    <xf numFmtId="0" fontId="7" fillId="7" borderId="0" xfId="0" applyFont="1" applyFill="1" applyAlignment="1"/>
    <xf numFmtId="0" fontId="7" fillId="7" borderId="0" xfId="0" applyFont="1" applyFill="1"/>
    <xf numFmtId="0" fontId="7" fillId="7" borderId="0" xfId="0" applyFont="1" applyFill="1" applyAlignment="1">
      <alignment horizontal="center"/>
    </xf>
    <xf numFmtId="164" fontId="7" fillId="7" borderId="0" xfId="3" applyNumberFormat="1" applyFont="1" applyFill="1"/>
    <xf numFmtId="0" fontId="7" fillId="7" borderId="0" xfId="3" applyNumberFormat="1" applyFont="1" applyFill="1"/>
    <xf numFmtId="164" fontId="7" fillId="7" borderId="0" xfId="3" applyNumberFormat="1" applyFont="1" applyFill="1" applyAlignment="1"/>
    <xf numFmtId="0" fontId="1" fillId="7" borderId="0" xfId="0" applyFont="1" applyFill="1" applyAlignment="1">
      <alignment horizontal="center"/>
    </xf>
    <xf numFmtId="0" fontId="0" fillId="7" borderId="0" xfId="0" applyFill="1"/>
    <xf numFmtId="0" fontId="0" fillId="7" borderId="0" xfId="0" applyFill="1" applyAlignment="1">
      <alignment horizontal="center"/>
    </xf>
    <xf numFmtId="0" fontId="19" fillId="3" borderId="1" xfId="0" applyFont="1" applyFill="1" applyBorder="1" applyAlignment="1">
      <alignment textRotation="90" wrapText="1"/>
    </xf>
    <xf numFmtId="43" fontId="20" fillId="2" borderId="1" xfId="3" applyFont="1" applyFill="1" applyBorder="1" applyAlignment="1">
      <alignment horizontal="center" wrapText="1"/>
    </xf>
    <xf numFmtId="164" fontId="20" fillId="2" borderId="1" xfId="3" applyNumberFormat="1" applyFont="1" applyFill="1" applyBorder="1" applyAlignment="1">
      <alignment horizontal="center" wrapText="1"/>
    </xf>
    <xf numFmtId="1" fontId="7" fillId="0" borderId="0" xfId="0" applyNumberFormat="1" applyFont="1" applyAlignment="1">
      <alignment horizontal="center"/>
    </xf>
    <xf numFmtId="1" fontId="3" fillId="2" borderId="1" xfId="3" applyNumberFormat="1" applyFont="1" applyFill="1" applyBorder="1" applyAlignment="1">
      <alignment horizontal="center" wrapText="1"/>
    </xf>
    <xf numFmtId="0" fontId="14" fillId="3" borderId="1" xfId="0" applyFont="1" applyFill="1" applyBorder="1" applyAlignment="1">
      <alignment horizontal="center" textRotation="90" wrapText="1"/>
    </xf>
    <xf numFmtId="1" fontId="0" fillId="0" borderId="0" xfId="0" applyNumberFormat="1" applyAlignment="1">
      <alignment horizontal="center"/>
    </xf>
    <xf numFmtId="1" fontId="1" fillId="0" borderId="0" xfId="0" applyNumberFormat="1" applyFont="1" applyAlignment="1">
      <alignment horizontal="center"/>
    </xf>
    <xf numFmtId="1" fontId="0" fillId="5" borderId="0" xfId="0" applyNumberFormat="1" applyFill="1" applyAlignment="1">
      <alignment horizontal="center"/>
    </xf>
    <xf numFmtId="0" fontId="0" fillId="5" borderId="0" xfId="0" applyFill="1" applyAlignment="1">
      <alignment horizontal="center"/>
    </xf>
    <xf numFmtId="1" fontId="0" fillId="7" borderId="0" xfId="0" applyNumberFormat="1" applyFill="1" applyAlignment="1">
      <alignment horizontal="center"/>
    </xf>
    <xf numFmtId="1" fontId="1" fillId="7" borderId="0" xfId="0" applyNumberFormat="1" applyFont="1" applyFill="1" applyAlignment="1">
      <alignment horizontal="center"/>
    </xf>
    <xf numFmtId="1" fontId="1" fillId="0" borderId="0" xfId="0" applyNumberFormat="1" applyFont="1" applyFill="1" applyAlignment="1">
      <alignment horizontal="center"/>
    </xf>
    <xf numFmtId="1" fontId="1" fillId="6" borderId="0" xfId="0" applyNumberFormat="1" applyFont="1" applyFill="1" applyAlignment="1">
      <alignment horizontal="center"/>
    </xf>
    <xf numFmtId="0" fontId="7" fillId="6" borderId="0" xfId="0" applyFont="1" applyFill="1" applyAlignment="1">
      <alignment horizontal="center"/>
    </xf>
    <xf numFmtId="1" fontId="0" fillId="6" borderId="0" xfId="0" applyNumberFormat="1" applyFill="1" applyAlignment="1">
      <alignment horizontal="left"/>
    </xf>
    <xf numFmtId="0" fontId="14" fillId="0" borderId="0" xfId="0" applyFont="1" applyAlignment="1">
      <alignment horizontal="right"/>
    </xf>
    <xf numFmtId="0" fontId="15" fillId="0" borderId="0" xfId="0" applyFont="1" applyFill="1" applyBorder="1" applyAlignment="1">
      <alignment horizontal="left"/>
    </xf>
    <xf numFmtId="0" fontId="15" fillId="0" borderId="5" xfId="0" applyFont="1" applyFill="1" applyBorder="1" applyAlignment="1">
      <alignment horizontal="center" vertical="center" wrapText="1"/>
    </xf>
    <xf numFmtId="0" fontId="6" fillId="3" borderId="0" xfId="0" applyFont="1" applyFill="1" applyBorder="1" applyAlignment="1">
      <alignment horizontal="left" vertical="top" wrapText="1"/>
    </xf>
    <xf numFmtId="0" fontId="15" fillId="6" borderId="0" xfId="0" applyFont="1" applyFill="1" applyAlignment="1">
      <alignment horizontal="left" vertical="center" wrapText="1"/>
    </xf>
    <xf numFmtId="0" fontId="18" fillId="0" borderId="0" xfId="0" applyFont="1" applyAlignment="1">
      <alignment horizontal="center"/>
    </xf>
    <xf numFmtId="0" fontId="7" fillId="0" borderId="0" xfId="0" applyFont="1" applyAlignment="1">
      <alignment horizontal="left" wrapText="1"/>
    </xf>
  </cellXfs>
  <cellStyles count="4">
    <cellStyle name="Comma" xfId="3" builtinId="3"/>
    <cellStyle name="Currency" xfId="1" builtinId="4"/>
    <cellStyle name="Normal" xfId="0" builtinId="0"/>
    <cellStyle name="Normal_Sheet1" xfId="2" xr:uid="{00000000-0005-0000-0000-000003000000}"/>
  </cellStyles>
  <dxfs count="1">
    <dxf>
      <font>
        <color rgb="FF9C0006"/>
      </font>
      <fill>
        <patternFill>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55245</xdr:colOff>
      <xdr:row>0</xdr:row>
      <xdr:rowOff>30480</xdr:rowOff>
    </xdr:from>
    <xdr:to>
      <xdr:col>1</xdr:col>
      <xdr:colOff>1120140</xdr:colOff>
      <xdr:row>4</xdr:row>
      <xdr:rowOff>29897</xdr:rowOff>
    </xdr:to>
    <xdr:pic>
      <xdr:nvPicPr>
        <xdr:cNvPr id="2" name="Picture 1" descr="TDHCA logo.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542925" y="30480"/>
          <a:ext cx="1064895" cy="9526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271"/>
  <sheetViews>
    <sheetView tabSelected="1" view="pageBreakPreview" zoomScale="75" zoomScaleNormal="91" zoomScaleSheetLayoutView="75" workbookViewId="0">
      <selection activeCell="R11" sqref="R11"/>
    </sheetView>
  </sheetViews>
  <sheetFormatPr defaultColWidth="9.140625" defaultRowHeight="12.75" x14ac:dyDescent="0.2"/>
  <cols>
    <col min="1" max="1" width="7.42578125" style="8" customWidth="1"/>
    <col min="2" max="2" width="31.5703125" style="7" customWidth="1"/>
    <col min="3" max="3" width="27.28515625" style="7" customWidth="1"/>
    <col min="4" max="4" width="13.42578125" style="7" customWidth="1"/>
    <col min="5" max="5" width="3.140625" style="21" customWidth="1"/>
    <col min="6" max="6" width="6.7109375" style="7" customWidth="1"/>
    <col min="7" max="7" width="11.42578125" style="7" customWidth="1"/>
    <col min="8" max="8" width="3.7109375" style="21" customWidth="1"/>
    <col min="9" max="9" width="6" style="7" customWidth="1"/>
    <col min="10" max="13" width="2.7109375" style="21" customWidth="1"/>
    <col min="14" max="14" width="17" style="7" customWidth="1"/>
    <col min="15" max="17" width="4.28515625" style="7" customWidth="1"/>
    <col min="18" max="18" width="8" style="7" customWidth="1"/>
    <col min="19" max="19" width="17.5703125" style="42" customWidth="1"/>
    <col min="20" max="21" width="16.140625" style="7" customWidth="1"/>
    <col min="22" max="22" width="12.7109375" style="55" customWidth="1"/>
    <col min="23" max="23" width="5.42578125" style="7" customWidth="1"/>
    <col min="24" max="26" width="4.85546875" style="8" customWidth="1"/>
    <col min="27" max="27" width="5.85546875" style="35" customWidth="1"/>
    <col min="28" max="28" width="6.140625" style="35" customWidth="1"/>
    <col min="29" max="29" width="5.42578125" style="8" customWidth="1"/>
    <col min="30" max="30" width="7.42578125" style="8" customWidth="1"/>
    <col min="31" max="31" width="8.85546875" style="7" customWidth="1"/>
    <col min="32" max="32" width="10.42578125" style="42" customWidth="1"/>
    <col min="33" max="33" width="28.7109375" style="21" hidden="1" customWidth="1"/>
    <col min="34" max="34" width="16.28515625" style="117" customWidth="1"/>
    <col min="35" max="37" width="6.140625" style="21" customWidth="1"/>
    <col min="38" max="16384" width="9.140625" style="7"/>
  </cols>
  <sheetData>
    <row r="1" spans="1:107" ht="14.45" customHeight="1" x14ac:dyDescent="0.2">
      <c r="S1" s="37"/>
      <c r="T1" s="8"/>
      <c r="U1" s="8"/>
      <c r="V1" s="54"/>
    </row>
    <row r="2" spans="1:107" ht="20.25" x14ac:dyDescent="0.3">
      <c r="C2" s="6" t="s">
        <v>18</v>
      </c>
      <c r="T2" s="8"/>
      <c r="U2" s="8"/>
      <c r="V2" s="54"/>
    </row>
    <row r="3" spans="1:107" ht="20.25" customHeight="1" x14ac:dyDescent="0.3">
      <c r="C3" s="5" t="s">
        <v>65</v>
      </c>
      <c r="S3" s="38"/>
      <c r="T3"/>
      <c r="U3"/>
      <c r="W3"/>
    </row>
    <row r="4" spans="1:107" ht="20.45" customHeight="1" x14ac:dyDescent="0.3">
      <c r="C4" s="6" t="s">
        <v>519</v>
      </c>
      <c r="S4" s="48"/>
      <c r="T4" s="52"/>
      <c r="U4" s="52"/>
      <c r="V4" s="56"/>
      <c r="W4"/>
      <c r="X4" s="34"/>
      <c r="Y4" s="34"/>
      <c r="Z4" s="34"/>
      <c r="AA4" s="34"/>
      <c r="AB4" s="34"/>
      <c r="AC4" s="34"/>
      <c r="AD4" s="34"/>
      <c r="AE4"/>
      <c r="AF4" s="38"/>
    </row>
    <row r="5" spans="1:107" ht="5.45" customHeight="1" x14ac:dyDescent="0.25">
      <c r="C5" s="9"/>
      <c r="S5" s="53"/>
      <c r="T5" s="52"/>
      <c r="U5" s="52"/>
      <c r="V5" s="56"/>
      <c r="W5"/>
      <c r="X5" s="34"/>
      <c r="Y5" s="34"/>
      <c r="Z5" s="34"/>
      <c r="AA5" s="34"/>
      <c r="AB5" s="34"/>
      <c r="AC5" s="34"/>
      <c r="AD5" s="34"/>
      <c r="AE5"/>
      <c r="AF5" s="38"/>
    </row>
    <row r="6" spans="1:107" ht="14.45" customHeight="1" x14ac:dyDescent="0.25">
      <c r="A6" s="134" t="s">
        <v>507</v>
      </c>
      <c r="B6" s="134"/>
      <c r="C6" s="134"/>
      <c r="D6" s="134"/>
      <c r="E6" s="134"/>
      <c r="F6" s="134"/>
      <c r="G6" s="134"/>
      <c r="H6" s="134"/>
      <c r="I6" s="134"/>
      <c r="J6" s="134"/>
      <c r="K6" s="134"/>
      <c r="L6" s="134"/>
      <c r="M6" s="134"/>
      <c r="S6" s="53"/>
      <c r="T6" s="52"/>
      <c r="U6" s="52"/>
      <c r="V6" s="56"/>
      <c r="W6"/>
      <c r="X6" s="34"/>
      <c r="Y6" s="34"/>
      <c r="Z6" s="34"/>
      <c r="AA6" s="34"/>
      <c r="AB6" s="34"/>
      <c r="AC6" s="34"/>
      <c r="AD6" s="34"/>
      <c r="AE6"/>
      <c r="AF6" s="38"/>
    </row>
    <row r="7" spans="1:107" ht="15" customHeight="1" x14ac:dyDescent="0.25">
      <c r="A7" s="134"/>
      <c r="B7" s="134"/>
      <c r="C7" s="134"/>
      <c r="D7" s="134"/>
      <c r="E7" s="134"/>
      <c r="F7" s="134"/>
      <c r="G7" s="134"/>
      <c r="H7" s="134"/>
      <c r="I7" s="134"/>
      <c r="J7" s="134"/>
      <c r="K7" s="134"/>
      <c r="L7" s="134"/>
      <c r="M7" s="134"/>
      <c r="S7" s="133" t="s">
        <v>66</v>
      </c>
      <c r="T7" s="133"/>
      <c r="U7" s="133"/>
      <c r="V7" s="133"/>
      <c r="W7"/>
      <c r="X7" s="34"/>
      <c r="Y7" s="34"/>
      <c r="Z7" s="34"/>
      <c r="AA7" s="34"/>
      <c r="AB7" s="34"/>
      <c r="AC7" s="34"/>
      <c r="AD7" s="34"/>
      <c r="AE7"/>
      <c r="AF7" s="38"/>
    </row>
    <row r="8" spans="1:107" ht="15" customHeight="1" x14ac:dyDescent="0.25">
      <c r="A8" s="134"/>
      <c r="B8" s="134"/>
      <c r="C8" s="134"/>
      <c r="D8" s="134"/>
      <c r="E8" s="134"/>
      <c r="F8" s="134"/>
      <c r="G8" s="134"/>
      <c r="H8" s="134"/>
      <c r="I8" s="134"/>
      <c r="J8" s="134"/>
      <c r="K8" s="134"/>
      <c r="L8" s="134"/>
      <c r="M8" s="134"/>
      <c r="S8" s="133"/>
      <c r="T8" s="133"/>
      <c r="U8" s="133"/>
      <c r="V8" s="133"/>
      <c r="W8"/>
      <c r="X8" s="34"/>
      <c r="Y8" s="34"/>
      <c r="Z8" s="34"/>
      <c r="AA8" s="34"/>
      <c r="AB8" s="34"/>
      <c r="AC8" s="34"/>
      <c r="AD8" s="34"/>
      <c r="AE8"/>
      <c r="AF8" s="38"/>
    </row>
    <row r="9" spans="1:107" ht="114" customHeight="1" x14ac:dyDescent="0.25">
      <c r="A9" s="134"/>
      <c r="B9" s="134"/>
      <c r="C9" s="134"/>
      <c r="D9" s="134"/>
      <c r="E9" s="134"/>
      <c r="F9" s="134"/>
      <c r="G9" s="134"/>
      <c r="H9" s="134"/>
      <c r="I9" s="134"/>
      <c r="J9" s="134"/>
      <c r="K9" s="134"/>
      <c r="L9" s="134"/>
      <c r="M9" s="134"/>
      <c r="S9" s="133"/>
      <c r="T9" s="133"/>
      <c r="U9" s="133"/>
      <c r="V9" s="133"/>
      <c r="W9"/>
      <c r="X9" s="34"/>
      <c r="Y9" s="34"/>
      <c r="Z9" s="34"/>
      <c r="AA9" s="34"/>
      <c r="AB9" s="34"/>
      <c r="AC9" s="34"/>
      <c r="AD9" s="34"/>
      <c r="AE9"/>
      <c r="AF9" s="38"/>
    </row>
    <row r="10" spans="1:107" s="13" customFormat="1" ht="29.25" customHeight="1" x14ac:dyDescent="0.2">
      <c r="A10" s="131" t="s">
        <v>520</v>
      </c>
      <c r="B10" s="131"/>
      <c r="C10" s="23"/>
      <c r="D10" s="132" t="s">
        <v>60</v>
      </c>
      <c r="E10" s="132"/>
      <c r="F10" s="132"/>
      <c r="G10" s="132"/>
      <c r="H10" s="132"/>
      <c r="I10" s="132"/>
      <c r="J10" s="132"/>
      <c r="K10" s="132"/>
      <c r="L10" s="132"/>
      <c r="M10" s="132"/>
      <c r="N10" s="132"/>
      <c r="O10" s="132"/>
      <c r="P10" s="132"/>
      <c r="Q10" s="132"/>
      <c r="R10" s="132"/>
      <c r="S10" s="132"/>
      <c r="T10" s="132"/>
      <c r="U10" s="132"/>
      <c r="V10" s="57"/>
      <c r="W10" s="49"/>
      <c r="X10" s="35"/>
      <c r="Y10" s="35"/>
      <c r="Z10" s="28"/>
      <c r="AA10" s="28"/>
      <c r="AB10" s="28"/>
      <c r="AC10" s="51"/>
      <c r="AD10" s="51"/>
      <c r="AE10" s="51"/>
      <c r="AF10" s="81"/>
      <c r="AG10" s="69"/>
      <c r="AH10" s="117"/>
      <c r="AI10" s="21"/>
      <c r="AJ10" s="21"/>
      <c r="AK10" s="21"/>
    </row>
    <row r="11" spans="1:107" s="4" customFormat="1" ht="102" customHeight="1" x14ac:dyDescent="0.2">
      <c r="A11" s="89" t="s">
        <v>0</v>
      </c>
      <c r="B11" s="1" t="s">
        <v>2</v>
      </c>
      <c r="C11" s="2" t="s">
        <v>10</v>
      </c>
      <c r="D11" s="2" t="s">
        <v>1</v>
      </c>
      <c r="E11" s="3" t="s">
        <v>11</v>
      </c>
      <c r="F11" s="3" t="s">
        <v>12</v>
      </c>
      <c r="G11" s="3" t="s">
        <v>3</v>
      </c>
      <c r="H11" s="3" t="s">
        <v>4</v>
      </c>
      <c r="I11" s="3" t="s">
        <v>13</v>
      </c>
      <c r="J11" s="3" t="s">
        <v>9</v>
      </c>
      <c r="K11" s="3" t="s">
        <v>8</v>
      </c>
      <c r="L11" s="3" t="s">
        <v>7</v>
      </c>
      <c r="M11" s="3" t="s">
        <v>62</v>
      </c>
      <c r="N11" s="3" t="s">
        <v>22</v>
      </c>
      <c r="O11" s="3" t="s">
        <v>14</v>
      </c>
      <c r="P11" s="3" t="s">
        <v>15</v>
      </c>
      <c r="Q11" s="3" t="s">
        <v>5</v>
      </c>
      <c r="R11" s="3" t="s">
        <v>56</v>
      </c>
      <c r="S11" s="39" t="s">
        <v>6</v>
      </c>
      <c r="T11" s="2" t="s">
        <v>57</v>
      </c>
      <c r="U11" s="2" t="s">
        <v>58</v>
      </c>
      <c r="V11" s="58" t="s">
        <v>17</v>
      </c>
      <c r="W11" s="50" t="s">
        <v>16</v>
      </c>
      <c r="X11" s="20" t="s">
        <v>25</v>
      </c>
      <c r="Y11" s="20" t="s">
        <v>26</v>
      </c>
      <c r="Z11" s="20" t="s">
        <v>27</v>
      </c>
      <c r="AA11" s="20" t="s">
        <v>28</v>
      </c>
      <c r="AB11" s="20" t="s">
        <v>29</v>
      </c>
      <c r="AC11" s="20" t="s">
        <v>61</v>
      </c>
      <c r="AD11" s="114" t="s">
        <v>399</v>
      </c>
      <c r="AE11" s="115" t="s">
        <v>64</v>
      </c>
      <c r="AF11" s="116" t="s">
        <v>63</v>
      </c>
      <c r="AG11" s="58" t="s">
        <v>396</v>
      </c>
      <c r="AH11" s="118" t="s">
        <v>511</v>
      </c>
      <c r="AI11" s="119" t="s">
        <v>512</v>
      </c>
      <c r="AJ11" s="119" t="s">
        <v>513</v>
      </c>
      <c r="AK11" s="119" t="s">
        <v>514</v>
      </c>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row>
    <row r="12" spans="1:107" customFormat="1" ht="15" customHeight="1" x14ac:dyDescent="0.25">
      <c r="A12" s="90" t="s">
        <v>19</v>
      </c>
      <c r="B12" s="11"/>
      <c r="C12" s="36"/>
      <c r="D12" s="11"/>
      <c r="E12" s="10"/>
      <c r="F12" s="11"/>
      <c r="G12" s="12"/>
      <c r="H12" s="10"/>
      <c r="I12" s="10"/>
      <c r="J12" s="10"/>
      <c r="K12" s="10"/>
      <c r="L12" s="10"/>
      <c r="M12" s="10"/>
      <c r="N12" s="10"/>
      <c r="O12" s="10"/>
      <c r="P12" s="10"/>
      <c r="Q12" s="10"/>
      <c r="R12" s="10"/>
      <c r="S12" s="40"/>
      <c r="T12" s="11"/>
      <c r="U12" s="11"/>
      <c r="V12" s="59"/>
      <c r="W12" s="11"/>
      <c r="X12" s="35"/>
      <c r="Y12" s="35"/>
      <c r="Z12" s="35"/>
      <c r="AA12" s="35"/>
      <c r="AB12" s="35"/>
      <c r="AC12" s="34"/>
      <c r="AD12" s="34"/>
      <c r="AF12" s="38"/>
      <c r="AG12" s="87"/>
      <c r="AH12" s="120"/>
      <c r="AI12" s="87"/>
      <c r="AJ12" s="87"/>
      <c r="AK12" s="87"/>
    </row>
    <row r="13" spans="1:107" s="14" customFormat="1" ht="15" customHeight="1" x14ac:dyDescent="0.25">
      <c r="A13" s="8">
        <v>25038</v>
      </c>
      <c r="B13" s="7" t="s">
        <v>401</v>
      </c>
      <c r="C13" s="7" t="s">
        <v>76</v>
      </c>
      <c r="D13" s="7" t="s">
        <v>402</v>
      </c>
      <c r="E13" s="13"/>
      <c r="F13" s="7">
        <v>76020</v>
      </c>
      <c r="G13" s="7" t="s">
        <v>77</v>
      </c>
      <c r="H13" s="7">
        <v>3</v>
      </c>
      <c r="I13" s="7" t="s">
        <v>78</v>
      </c>
      <c r="J13" s="21" t="s">
        <v>480</v>
      </c>
      <c r="K13" s="21" t="s">
        <v>397</v>
      </c>
      <c r="L13" s="21" t="s">
        <v>480</v>
      </c>
      <c r="M13" s="21" t="s">
        <v>481</v>
      </c>
      <c r="N13" s="7" t="s">
        <v>400</v>
      </c>
      <c r="O13" s="7">
        <v>116</v>
      </c>
      <c r="P13" s="7">
        <v>0</v>
      </c>
      <c r="Q13" s="7">
        <v>116</v>
      </c>
      <c r="R13" s="7" t="s">
        <v>75</v>
      </c>
      <c r="S13" s="42">
        <v>2000000</v>
      </c>
      <c r="T13" s="42" t="s">
        <v>79</v>
      </c>
      <c r="U13" s="42" t="s">
        <v>80</v>
      </c>
      <c r="V13" s="55">
        <v>48439114204</v>
      </c>
      <c r="W13" s="55">
        <v>133</v>
      </c>
      <c r="X13" s="37">
        <v>17</v>
      </c>
      <c r="Y13" s="37">
        <v>8</v>
      </c>
      <c r="Z13" s="37">
        <v>8</v>
      </c>
      <c r="AA13" s="37">
        <v>0</v>
      </c>
      <c r="AB13" s="37">
        <v>0</v>
      </c>
      <c r="AC13" s="37">
        <v>0</v>
      </c>
      <c r="AD13" s="37">
        <v>166</v>
      </c>
      <c r="AE13" s="7">
        <v>1976</v>
      </c>
      <c r="AF13" s="42">
        <v>5729.2326414873423</v>
      </c>
      <c r="AG13" s="87" t="s">
        <v>493</v>
      </c>
      <c r="AH13" s="117" t="s">
        <v>515</v>
      </c>
      <c r="AI13" s="21" t="s">
        <v>516</v>
      </c>
      <c r="AJ13" s="21" t="s">
        <v>516</v>
      </c>
      <c r="AK13" s="21" t="s">
        <v>516</v>
      </c>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row>
    <row r="14" spans="1:107" customFormat="1" ht="15" customHeight="1" x14ac:dyDescent="0.25">
      <c r="A14" s="8">
        <v>25114</v>
      </c>
      <c r="B14" s="7" t="s">
        <v>87</v>
      </c>
      <c r="C14" s="7" t="s">
        <v>88</v>
      </c>
      <c r="D14" s="7" t="s">
        <v>89</v>
      </c>
      <c r="E14" s="13"/>
      <c r="F14" s="7">
        <v>76063</v>
      </c>
      <c r="G14" s="7" t="s">
        <v>77</v>
      </c>
      <c r="H14" s="7">
        <v>3</v>
      </c>
      <c r="I14" s="7" t="s">
        <v>78</v>
      </c>
      <c r="J14" s="21" t="s">
        <v>480</v>
      </c>
      <c r="K14" s="21" t="s">
        <v>397</v>
      </c>
      <c r="L14" s="21" t="s">
        <v>480</v>
      </c>
      <c r="M14" s="21" t="s">
        <v>480</v>
      </c>
      <c r="N14" s="7" t="s">
        <v>400</v>
      </c>
      <c r="O14" s="7">
        <v>32</v>
      </c>
      <c r="P14" s="7">
        <v>0</v>
      </c>
      <c r="Q14" s="7">
        <v>32</v>
      </c>
      <c r="R14" s="7" t="s">
        <v>75</v>
      </c>
      <c r="S14" s="42">
        <v>532600</v>
      </c>
      <c r="T14" s="42" t="s">
        <v>90</v>
      </c>
      <c r="U14" s="42" t="s">
        <v>404</v>
      </c>
      <c r="V14" s="55">
        <v>48439111309</v>
      </c>
      <c r="W14" s="55">
        <v>133</v>
      </c>
      <c r="X14" s="37">
        <v>17</v>
      </c>
      <c r="Y14" s="37">
        <v>4</v>
      </c>
      <c r="Z14" s="37">
        <v>8</v>
      </c>
      <c r="AA14" s="37">
        <v>4</v>
      </c>
      <c r="AB14" s="37">
        <v>0</v>
      </c>
      <c r="AC14" s="37">
        <v>0</v>
      </c>
      <c r="AD14" s="37">
        <v>166</v>
      </c>
      <c r="AE14" s="7">
        <v>1983</v>
      </c>
      <c r="AF14" s="42">
        <v>6147.8179091362563</v>
      </c>
      <c r="AG14" s="87" t="s">
        <v>489</v>
      </c>
      <c r="AH14" s="117" t="s">
        <v>515</v>
      </c>
      <c r="AI14" s="21" t="s">
        <v>516</v>
      </c>
      <c r="AJ14" s="21" t="s">
        <v>516</v>
      </c>
      <c r="AK14" s="21" t="s">
        <v>516</v>
      </c>
    </row>
    <row r="15" spans="1:107" customFormat="1" ht="15" customHeight="1" x14ac:dyDescent="0.25">
      <c r="A15" s="8">
        <v>25118</v>
      </c>
      <c r="B15" s="7" t="s">
        <v>91</v>
      </c>
      <c r="C15" s="7" t="s">
        <v>92</v>
      </c>
      <c r="D15" s="7" t="s">
        <v>93</v>
      </c>
      <c r="E15" s="13"/>
      <c r="F15" s="7">
        <v>77437</v>
      </c>
      <c r="G15" s="7" t="s">
        <v>94</v>
      </c>
      <c r="H15" s="7">
        <v>6</v>
      </c>
      <c r="I15" s="7" t="s">
        <v>71</v>
      </c>
      <c r="J15" s="21" t="s">
        <v>480</v>
      </c>
      <c r="K15" s="21" t="s">
        <v>397</v>
      </c>
      <c r="L15" s="21" t="s">
        <v>480</v>
      </c>
      <c r="M15" s="21" t="s">
        <v>480</v>
      </c>
      <c r="N15" s="7" t="s">
        <v>400</v>
      </c>
      <c r="O15" s="7">
        <v>72</v>
      </c>
      <c r="P15" s="7">
        <v>0</v>
      </c>
      <c r="Q15" s="7">
        <v>72</v>
      </c>
      <c r="R15" s="7" t="s">
        <v>75</v>
      </c>
      <c r="S15" s="42">
        <v>997550</v>
      </c>
      <c r="T15" s="42" t="s">
        <v>90</v>
      </c>
      <c r="U15" s="42" t="s">
        <v>404</v>
      </c>
      <c r="V15" s="55">
        <v>48481740902</v>
      </c>
      <c r="W15" s="55">
        <v>133</v>
      </c>
      <c r="X15" s="37">
        <v>17</v>
      </c>
      <c r="Y15" s="37">
        <v>4</v>
      </c>
      <c r="Z15" s="37">
        <v>8</v>
      </c>
      <c r="AA15" s="37">
        <v>4</v>
      </c>
      <c r="AB15" s="37">
        <v>0</v>
      </c>
      <c r="AC15" s="37">
        <v>0</v>
      </c>
      <c r="AD15" s="37">
        <v>166</v>
      </c>
      <c r="AE15" s="7">
        <v>1983</v>
      </c>
      <c r="AF15" s="42">
        <v>11331.527855503904</v>
      </c>
      <c r="AG15" s="87" t="s">
        <v>489</v>
      </c>
      <c r="AH15" s="117" t="s">
        <v>515</v>
      </c>
      <c r="AI15" s="21" t="s">
        <v>516</v>
      </c>
      <c r="AJ15" s="21" t="s">
        <v>516</v>
      </c>
      <c r="AK15" s="21" t="s">
        <v>516</v>
      </c>
    </row>
    <row r="16" spans="1:107" customFormat="1" ht="15" customHeight="1" x14ac:dyDescent="0.25">
      <c r="A16" s="8">
        <v>25170</v>
      </c>
      <c r="B16" s="7" t="s">
        <v>95</v>
      </c>
      <c r="C16" s="7" t="s">
        <v>96</v>
      </c>
      <c r="D16" s="7" t="s">
        <v>97</v>
      </c>
      <c r="E16" s="13"/>
      <c r="F16" s="7">
        <v>75633</v>
      </c>
      <c r="G16" s="7" t="s">
        <v>98</v>
      </c>
      <c r="H16" s="7">
        <v>4</v>
      </c>
      <c r="I16" s="7" t="s">
        <v>71</v>
      </c>
      <c r="J16" s="21" t="s">
        <v>480</v>
      </c>
      <c r="K16" s="21" t="s">
        <v>397</v>
      </c>
      <c r="L16" s="21" t="s">
        <v>480</v>
      </c>
      <c r="M16" s="21" t="s">
        <v>480</v>
      </c>
      <c r="N16" s="7" t="s">
        <v>400</v>
      </c>
      <c r="O16" s="7">
        <v>56</v>
      </c>
      <c r="P16" s="7">
        <v>0</v>
      </c>
      <c r="Q16" s="7">
        <v>56</v>
      </c>
      <c r="R16" s="7" t="s">
        <v>72</v>
      </c>
      <c r="S16" s="42">
        <v>854285</v>
      </c>
      <c r="T16" s="42" t="s">
        <v>99</v>
      </c>
      <c r="U16" s="42" t="s">
        <v>100</v>
      </c>
      <c r="V16" s="55">
        <v>48365950401</v>
      </c>
      <c r="W16" s="55">
        <v>126</v>
      </c>
      <c r="X16" s="37">
        <v>17</v>
      </c>
      <c r="Y16" s="37">
        <v>4</v>
      </c>
      <c r="Z16" s="37">
        <v>8</v>
      </c>
      <c r="AA16" s="37">
        <v>4</v>
      </c>
      <c r="AB16" s="37">
        <v>7</v>
      </c>
      <c r="AC16" s="37">
        <v>0</v>
      </c>
      <c r="AD16" s="37">
        <v>166</v>
      </c>
      <c r="AE16" s="7">
        <v>1988</v>
      </c>
      <c r="AF16" s="42">
        <v>13868.890569566262</v>
      </c>
      <c r="AG16" s="87" t="s">
        <v>489</v>
      </c>
      <c r="AH16" s="117" t="s">
        <v>515</v>
      </c>
      <c r="AI16" s="21" t="s">
        <v>516</v>
      </c>
      <c r="AJ16" s="21" t="s">
        <v>516</v>
      </c>
      <c r="AK16" s="21" t="s">
        <v>516</v>
      </c>
    </row>
    <row r="17" spans="1:107" customFormat="1" ht="15" customHeight="1" x14ac:dyDescent="0.25">
      <c r="A17" s="8">
        <v>25035</v>
      </c>
      <c r="B17" s="7" t="s">
        <v>67</v>
      </c>
      <c r="C17" s="7" t="s">
        <v>68</v>
      </c>
      <c r="D17" s="7" t="s">
        <v>69</v>
      </c>
      <c r="E17" s="13"/>
      <c r="F17" s="7">
        <v>78624</v>
      </c>
      <c r="G17" s="7" t="s">
        <v>70</v>
      </c>
      <c r="H17" s="7">
        <v>9</v>
      </c>
      <c r="I17" s="7" t="s">
        <v>71</v>
      </c>
      <c r="J17" s="21" t="s">
        <v>480</v>
      </c>
      <c r="K17" s="21" t="s">
        <v>397</v>
      </c>
      <c r="L17" s="21" t="s">
        <v>480</v>
      </c>
      <c r="M17" s="21" t="s">
        <v>481</v>
      </c>
      <c r="N17" s="7" t="s">
        <v>400</v>
      </c>
      <c r="O17" s="7">
        <v>47</v>
      </c>
      <c r="P17" s="7">
        <v>1</v>
      </c>
      <c r="Q17" s="7">
        <v>48</v>
      </c>
      <c r="R17" s="7" t="s">
        <v>72</v>
      </c>
      <c r="S17" s="42">
        <v>603701.2699999999</v>
      </c>
      <c r="T17" s="42" t="s">
        <v>73</v>
      </c>
      <c r="U17" s="42" t="s">
        <v>74</v>
      </c>
      <c r="V17" s="55">
        <v>48171950402</v>
      </c>
      <c r="W17" s="55">
        <v>133</v>
      </c>
      <c r="X17" s="37">
        <v>17</v>
      </c>
      <c r="Y17" s="37">
        <v>8</v>
      </c>
      <c r="Z17" s="37">
        <v>8</v>
      </c>
      <c r="AA17" s="37">
        <v>0</v>
      </c>
      <c r="AB17" s="37">
        <v>0</v>
      </c>
      <c r="AC17" s="37">
        <v>0</v>
      </c>
      <c r="AD17" s="37">
        <v>166</v>
      </c>
      <c r="AE17" s="7">
        <v>1991</v>
      </c>
      <c r="AF17" s="42">
        <v>9717.1901705842356</v>
      </c>
      <c r="AG17" s="87" t="s">
        <v>493</v>
      </c>
      <c r="AH17" s="117" t="s">
        <v>515</v>
      </c>
      <c r="AI17" s="21" t="s">
        <v>516</v>
      </c>
      <c r="AJ17" s="21" t="s">
        <v>516</v>
      </c>
      <c r="AK17" s="21" t="s">
        <v>516</v>
      </c>
    </row>
    <row r="18" spans="1:107" customFormat="1" ht="15" customHeight="1" x14ac:dyDescent="0.25">
      <c r="A18" s="8">
        <v>25040</v>
      </c>
      <c r="B18" s="7" t="s">
        <v>403</v>
      </c>
      <c r="C18" s="7" t="s">
        <v>84</v>
      </c>
      <c r="D18" s="7" t="s">
        <v>85</v>
      </c>
      <c r="E18" s="13"/>
      <c r="F18" s="7">
        <v>78881</v>
      </c>
      <c r="G18" s="7" t="s">
        <v>86</v>
      </c>
      <c r="H18" s="7">
        <v>11</v>
      </c>
      <c r="I18" s="7" t="s">
        <v>71</v>
      </c>
      <c r="J18" s="21" t="s">
        <v>480</v>
      </c>
      <c r="K18" s="21" t="s">
        <v>397</v>
      </c>
      <c r="L18" s="21" t="s">
        <v>480</v>
      </c>
      <c r="M18" s="21" t="s">
        <v>481</v>
      </c>
      <c r="N18" s="7" t="s">
        <v>400</v>
      </c>
      <c r="O18" s="7">
        <v>24</v>
      </c>
      <c r="P18" s="7">
        <v>0</v>
      </c>
      <c r="Q18" s="7">
        <v>24</v>
      </c>
      <c r="R18" s="7" t="s">
        <v>75</v>
      </c>
      <c r="S18" s="42">
        <v>419723.17</v>
      </c>
      <c r="T18" s="42" t="s">
        <v>82</v>
      </c>
      <c r="U18" s="42" t="s">
        <v>83</v>
      </c>
      <c r="V18" s="55">
        <v>48463950100</v>
      </c>
      <c r="W18" s="55">
        <v>133</v>
      </c>
      <c r="X18" s="37">
        <v>17</v>
      </c>
      <c r="Y18" s="37">
        <v>4</v>
      </c>
      <c r="Z18" s="37">
        <v>8</v>
      </c>
      <c r="AA18" s="37">
        <v>4</v>
      </c>
      <c r="AB18" s="37">
        <v>0</v>
      </c>
      <c r="AC18" s="37">
        <v>0</v>
      </c>
      <c r="AD18" s="37">
        <v>164</v>
      </c>
      <c r="AE18" s="7">
        <v>1988</v>
      </c>
      <c r="AF18" s="42">
        <v>7500.2136478589764</v>
      </c>
      <c r="AG18" s="87" t="s">
        <v>491</v>
      </c>
      <c r="AH18" s="117"/>
      <c r="AI18" s="21"/>
      <c r="AJ18" s="87"/>
      <c r="AK18" s="21"/>
    </row>
    <row r="19" spans="1:107" customFormat="1" ht="15" customHeight="1" x14ac:dyDescent="0.25">
      <c r="A19" s="8">
        <v>25185</v>
      </c>
      <c r="B19" s="7" t="s">
        <v>107</v>
      </c>
      <c r="C19" s="7" t="s">
        <v>108</v>
      </c>
      <c r="D19" s="7" t="s">
        <v>109</v>
      </c>
      <c r="E19" s="13"/>
      <c r="F19" s="7">
        <v>77486</v>
      </c>
      <c r="G19" s="7" t="s">
        <v>110</v>
      </c>
      <c r="H19" s="7">
        <v>6</v>
      </c>
      <c r="I19" s="7" t="s">
        <v>71</v>
      </c>
      <c r="J19" s="21" t="s">
        <v>480</v>
      </c>
      <c r="K19" s="21" t="s">
        <v>397</v>
      </c>
      <c r="L19" s="21" t="s">
        <v>480</v>
      </c>
      <c r="M19" s="21" t="s">
        <v>480</v>
      </c>
      <c r="N19" s="7" t="s">
        <v>400</v>
      </c>
      <c r="O19" s="7">
        <v>56</v>
      </c>
      <c r="P19" s="7">
        <v>0</v>
      </c>
      <c r="Q19" s="7">
        <v>56</v>
      </c>
      <c r="R19" s="7" t="s">
        <v>75</v>
      </c>
      <c r="S19" s="42">
        <v>681000</v>
      </c>
      <c r="T19" s="42" t="s">
        <v>104</v>
      </c>
      <c r="U19" s="42" t="s">
        <v>105</v>
      </c>
      <c r="V19" s="55">
        <v>48039662000</v>
      </c>
      <c r="W19" s="55">
        <v>129</v>
      </c>
      <c r="X19" s="37">
        <v>17</v>
      </c>
      <c r="Y19" s="37">
        <v>4</v>
      </c>
      <c r="Z19" s="37">
        <v>8</v>
      </c>
      <c r="AA19" s="37">
        <v>4</v>
      </c>
      <c r="AB19" s="37">
        <v>0</v>
      </c>
      <c r="AC19" s="37">
        <v>0</v>
      </c>
      <c r="AD19" s="37">
        <v>162</v>
      </c>
      <c r="AE19" s="7">
        <v>1985</v>
      </c>
      <c r="AF19" s="42">
        <v>4901.2113707318595</v>
      </c>
      <c r="AG19" s="87"/>
      <c r="AH19" s="117" t="s">
        <v>515</v>
      </c>
      <c r="AI19" s="21" t="s">
        <v>516</v>
      </c>
      <c r="AJ19" s="21" t="s">
        <v>516</v>
      </c>
      <c r="AK19" s="21" t="s">
        <v>516</v>
      </c>
    </row>
    <row r="20" spans="1:107" customFormat="1" ht="15" customHeight="1" x14ac:dyDescent="0.25">
      <c r="A20" s="8">
        <v>25183</v>
      </c>
      <c r="B20" s="7" t="s">
        <v>101</v>
      </c>
      <c r="C20" s="7" t="s">
        <v>405</v>
      </c>
      <c r="D20" s="7" t="s">
        <v>102</v>
      </c>
      <c r="E20" s="13"/>
      <c r="F20" s="7">
        <v>77327</v>
      </c>
      <c r="G20" s="7" t="s">
        <v>103</v>
      </c>
      <c r="H20" s="7">
        <v>6</v>
      </c>
      <c r="I20" s="7" t="s">
        <v>71</v>
      </c>
      <c r="J20" s="21" t="s">
        <v>480</v>
      </c>
      <c r="K20" s="21" t="s">
        <v>397</v>
      </c>
      <c r="L20" s="21" t="s">
        <v>480</v>
      </c>
      <c r="M20" s="21" t="s">
        <v>480</v>
      </c>
      <c r="N20" s="7" t="s">
        <v>400</v>
      </c>
      <c r="O20" s="7">
        <v>48</v>
      </c>
      <c r="P20" s="7">
        <v>0</v>
      </c>
      <c r="Q20" s="7">
        <v>48</v>
      </c>
      <c r="R20" s="7" t="s">
        <v>75</v>
      </c>
      <c r="S20" s="42">
        <v>585000</v>
      </c>
      <c r="T20" s="42" t="s">
        <v>104</v>
      </c>
      <c r="U20" s="42" t="s">
        <v>105</v>
      </c>
      <c r="V20" s="55">
        <v>48291700303</v>
      </c>
      <c r="W20" s="55">
        <v>129</v>
      </c>
      <c r="X20" s="37">
        <v>17</v>
      </c>
      <c r="Y20" s="37">
        <v>4</v>
      </c>
      <c r="Z20" s="37">
        <v>8</v>
      </c>
      <c r="AA20" s="37">
        <v>4</v>
      </c>
      <c r="AB20" s="37">
        <v>0</v>
      </c>
      <c r="AC20" s="37">
        <v>0</v>
      </c>
      <c r="AD20" s="37">
        <v>162</v>
      </c>
      <c r="AE20" s="7">
        <v>1991</v>
      </c>
      <c r="AF20" s="42">
        <v>7122.7554262497397</v>
      </c>
      <c r="AG20" s="87"/>
      <c r="AH20" s="120"/>
      <c r="AI20" s="120"/>
      <c r="AJ20" s="120"/>
      <c r="AK20" s="120"/>
    </row>
    <row r="21" spans="1:107" customFormat="1" ht="15" customHeight="1" x14ac:dyDescent="0.25">
      <c r="A21" s="8">
        <v>25093</v>
      </c>
      <c r="B21" s="7" t="s">
        <v>410</v>
      </c>
      <c r="C21" s="7" t="s">
        <v>411</v>
      </c>
      <c r="D21" s="7" t="s">
        <v>121</v>
      </c>
      <c r="E21" s="13"/>
      <c r="F21" s="7">
        <v>76708</v>
      </c>
      <c r="G21" s="7" t="s">
        <v>412</v>
      </c>
      <c r="H21" s="7">
        <v>8</v>
      </c>
      <c r="I21" s="7" t="s">
        <v>78</v>
      </c>
      <c r="J21" s="21" t="s">
        <v>397</v>
      </c>
      <c r="K21" s="21" t="s">
        <v>480</v>
      </c>
      <c r="L21" s="21" t="s">
        <v>480</v>
      </c>
      <c r="M21" s="21" t="s">
        <v>480</v>
      </c>
      <c r="N21" s="7" t="s">
        <v>400</v>
      </c>
      <c r="O21" s="7">
        <v>194</v>
      </c>
      <c r="P21" s="7">
        <v>2</v>
      </c>
      <c r="Q21" s="7">
        <v>196</v>
      </c>
      <c r="R21" s="7" t="s">
        <v>72</v>
      </c>
      <c r="S21" s="42">
        <v>2000000</v>
      </c>
      <c r="T21" s="42" t="s">
        <v>114</v>
      </c>
      <c r="U21" s="42" t="s">
        <v>408</v>
      </c>
      <c r="V21" s="55">
        <v>48309003000</v>
      </c>
      <c r="W21" s="55">
        <v>126</v>
      </c>
      <c r="X21" s="37">
        <v>17</v>
      </c>
      <c r="Y21" s="37">
        <v>4</v>
      </c>
      <c r="Z21" s="37">
        <v>8</v>
      </c>
      <c r="AA21" s="37">
        <v>4</v>
      </c>
      <c r="AB21" s="37">
        <v>7</v>
      </c>
      <c r="AC21" s="37">
        <v>0</v>
      </c>
      <c r="AD21" s="37">
        <v>166</v>
      </c>
      <c r="AE21" s="7"/>
      <c r="AF21" s="42">
        <v>3565.8837933905352</v>
      </c>
      <c r="AG21" s="87" t="s">
        <v>489</v>
      </c>
      <c r="AH21" s="121" t="s">
        <v>515</v>
      </c>
      <c r="AI21" s="21" t="s">
        <v>516</v>
      </c>
      <c r="AJ21" s="21" t="s">
        <v>516</v>
      </c>
      <c r="AK21" s="21" t="s">
        <v>516</v>
      </c>
    </row>
    <row r="22" spans="1:107" customFormat="1" ht="15" customHeight="1" x14ac:dyDescent="0.25">
      <c r="A22" s="8">
        <v>25171</v>
      </c>
      <c r="B22" s="7" t="s">
        <v>129</v>
      </c>
      <c r="C22" s="7" t="s">
        <v>130</v>
      </c>
      <c r="D22" s="7" t="s">
        <v>131</v>
      </c>
      <c r="E22" s="13"/>
      <c r="F22" s="7">
        <v>75117</v>
      </c>
      <c r="G22" s="7" t="s">
        <v>132</v>
      </c>
      <c r="H22" s="7">
        <v>4</v>
      </c>
      <c r="I22" s="7" t="s">
        <v>71</v>
      </c>
      <c r="J22" s="21" t="s">
        <v>397</v>
      </c>
      <c r="K22" s="21" t="s">
        <v>480</v>
      </c>
      <c r="L22" s="21" t="s">
        <v>480</v>
      </c>
      <c r="M22" s="21" t="s">
        <v>480</v>
      </c>
      <c r="N22" s="7" t="s">
        <v>400</v>
      </c>
      <c r="O22" s="7">
        <v>24</v>
      </c>
      <c r="P22" s="7">
        <v>0</v>
      </c>
      <c r="Q22" s="7">
        <v>24</v>
      </c>
      <c r="R22" s="7" t="s">
        <v>72</v>
      </c>
      <c r="S22" s="42">
        <v>418013</v>
      </c>
      <c r="T22" s="42" t="s">
        <v>99</v>
      </c>
      <c r="U22" s="42" t="s">
        <v>100</v>
      </c>
      <c r="V22" s="55">
        <v>48467950300</v>
      </c>
      <c r="W22" s="55">
        <v>133</v>
      </c>
      <c r="X22" s="37">
        <v>17</v>
      </c>
      <c r="Y22" s="37">
        <v>4</v>
      </c>
      <c r="Z22" s="37">
        <v>8</v>
      </c>
      <c r="AA22" s="37">
        <v>4</v>
      </c>
      <c r="AB22" s="37">
        <v>0</v>
      </c>
      <c r="AC22" s="37">
        <v>0</v>
      </c>
      <c r="AD22" s="37">
        <v>166</v>
      </c>
      <c r="AE22" s="7"/>
      <c r="AF22" s="42">
        <v>3841.5351797191979</v>
      </c>
      <c r="AG22" s="87" t="s">
        <v>489</v>
      </c>
      <c r="AH22" s="121" t="s">
        <v>515</v>
      </c>
      <c r="AI22" s="21" t="s">
        <v>516</v>
      </c>
      <c r="AJ22" s="21" t="s">
        <v>516</v>
      </c>
      <c r="AK22" s="21" t="s">
        <v>516</v>
      </c>
    </row>
    <row r="23" spans="1:107" customFormat="1" ht="15" customHeight="1" x14ac:dyDescent="0.25">
      <c r="A23" s="8">
        <v>25172</v>
      </c>
      <c r="B23" s="7" t="s">
        <v>133</v>
      </c>
      <c r="C23" s="7" t="s">
        <v>134</v>
      </c>
      <c r="D23" s="7" t="s">
        <v>135</v>
      </c>
      <c r="E23" s="13"/>
      <c r="F23" s="7">
        <v>75563</v>
      </c>
      <c r="G23" s="7" t="s">
        <v>136</v>
      </c>
      <c r="H23" s="7">
        <v>4</v>
      </c>
      <c r="I23" s="7" t="s">
        <v>71</v>
      </c>
      <c r="J23" s="21" t="s">
        <v>397</v>
      </c>
      <c r="K23" s="21" t="s">
        <v>480</v>
      </c>
      <c r="L23" s="21" t="s">
        <v>480</v>
      </c>
      <c r="M23" s="21" t="s">
        <v>480</v>
      </c>
      <c r="N23" s="7" t="s">
        <v>400</v>
      </c>
      <c r="O23" s="7">
        <v>24</v>
      </c>
      <c r="P23" s="7">
        <v>0</v>
      </c>
      <c r="Q23" s="7">
        <v>24</v>
      </c>
      <c r="R23" s="7" t="s">
        <v>72</v>
      </c>
      <c r="S23" s="42">
        <v>419052</v>
      </c>
      <c r="T23" s="42" t="s">
        <v>99</v>
      </c>
      <c r="U23" s="42" t="s">
        <v>100</v>
      </c>
      <c r="V23" s="55">
        <v>48067950602</v>
      </c>
      <c r="W23" s="55">
        <v>126</v>
      </c>
      <c r="X23" s="37">
        <v>17</v>
      </c>
      <c r="Y23" s="37">
        <v>4</v>
      </c>
      <c r="Z23" s="37">
        <v>8</v>
      </c>
      <c r="AA23" s="37">
        <v>4</v>
      </c>
      <c r="AB23" s="37">
        <v>7</v>
      </c>
      <c r="AC23" s="37">
        <v>0</v>
      </c>
      <c r="AD23" s="37">
        <v>166</v>
      </c>
      <c r="AE23" s="7"/>
      <c r="AF23" s="42">
        <v>4583.659182898271</v>
      </c>
      <c r="AG23" s="87" t="s">
        <v>489</v>
      </c>
      <c r="AH23" s="121" t="s">
        <v>515</v>
      </c>
      <c r="AI23" s="21" t="s">
        <v>516</v>
      </c>
      <c r="AJ23" s="21" t="s">
        <v>516</v>
      </c>
      <c r="AK23" s="21" t="s">
        <v>516</v>
      </c>
    </row>
    <row r="24" spans="1:107" customFormat="1" ht="15" customHeight="1" x14ac:dyDescent="0.25">
      <c r="A24" s="8">
        <v>25072</v>
      </c>
      <c r="B24" s="7" t="s">
        <v>406</v>
      </c>
      <c r="C24" s="7" t="s">
        <v>111</v>
      </c>
      <c r="D24" s="7" t="s">
        <v>112</v>
      </c>
      <c r="E24" s="13"/>
      <c r="F24" s="7" t="s">
        <v>407</v>
      </c>
      <c r="G24" s="7" t="s">
        <v>113</v>
      </c>
      <c r="H24" s="7">
        <v>7</v>
      </c>
      <c r="I24" s="7" t="s">
        <v>78</v>
      </c>
      <c r="J24" s="21" t="s">
        <v>397</v>
      </c>
      <c r="K24" s="21" t="s">
        <v>480</v>
      </c>
      <c r="L24" s="21" t="s">
        <v>480</v>
      </c>
      <c r="M24" s="21" t="s">
        <v>480</v>
      </c>
      <c r="N24" s="7" t="s">
        <v>400</v>
      </c>
      <c r="O24" s="7">
        <v>37</v>
      </c>
      <c r="P24" s="7">
        <v>1</v>
      </c>
      <c r="Q24" s="7">
        <v>38</v>
      </c>
      <c r="R24" s="7" t="s">
        <v>72</v>
      </c>
      <c r="S24" s="42">
        <v>702210.15</v>
      </c>
      <c r="T24" s="42" t="s">
        <v>114</v>
      </c>
      <c r="U24" s="42" t="s">
        <v>408</v>
      </c>
      <c r="V24" s="55">
        <v>48453002410</v>
      </c>
      <c r="W24" s="55">
        <v>126</v>
      </c>
      <c r="X24" s="37">
        <v>17</v>
      </c>
      <c r="Y24" s="37">
        <v>4</v>
      </c>
      <c r="Z24" s="37">
        <v>8</v>
      </c>
      <c r="AA24" s="37">
        <v>4</v>
      </c>
      <c r="AB24" s="37">
        <v>7</v>
      </c>
      <c r="AC24" s="37">
        <v>0</v>
      </c>
      <c r="AD24" s="37">
        <v>166</v>
      </c>
      <c r="AE24" s="7"/>
      <c r="AF24" s="42">
        <v>6080.8680648898562</v>
      </c>
      <c r="AG24" s="69" t="s">
        <v>489</v>
      </c>
      <c r="AH24" s="121" t="s">
        <v>515</v>
      </c>
      <c r="AI24" s="21" t="s">
        <v>516</v>
      </c>
      <c r="AJ24" s="21" t="s">
        <v>516</v>
      </c>
      <c r="AK24" s="21" t="s">
        <v>516</v>
      </c>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4"/>
      <c r="DB24" s="14"/>
      <c r="DC24" s="14"/>
    </row>
    <row r="25" spans="1:107" customFormat="1" ht="15" customHeight="1" x14ac:dyDescent="0.25">
      <c r="A25" s="8">
        <v>25204</v>
      </c>
      <c r="B25" s="7" t="s">
        <v>137</v>
      </c>
      <c r="C25" s="7" t="s">
        <v>138</v>
      </c>
      <c r="D25" s="7" t="s">
        <v>121</v>
      </c>
      <c r="E25" s="13"/>
      <c r="F25" s="7">
        <v>76704</v>
      </c>
      <c r="G25" s="7" t="s">
        <v>412</v>
      </c>
      <c r="H25" s="7">
        <v>8</v>
      </c>
      <c r="I25" s="7" t="s">
        <v>78</v>
      </c>
      <c r="J25" s="21" t="s">
        <v>397</v>
      </c>
      <c r="K25" s="21" t="s">
        <v>480</v>
      </c>
      <c r="L25" s="21" t="s">
        <v>397</v>
      </c>
      <c r="M25" s="21" t="s">
        <v>481</v>
      </c>
      <c r="N25" s="7" t="s">
        <v>415</v>
      </c>
      <c r="O25" s="7">
        <v>70</v>
      </c>
      <c r="P25" s="7">
        <v>0</v>
      </c>
      <c r="Q25" s="7">
        <v>70</v>
      </c>
      <c r="R25" s="7" t="s">
        <v>75</v>
      </c>
      <c r="S25" s="42">
        <v>2000000</v>
      </c>
      <c r="T25" s="42" t="s">
        <v>139</v>
      </c>
      <c r="U25" s="42" t="s">
        <v>140</v>
      </c>
      <c r="V25" s="55">
        <v>48309001402</v>
      </c>
      <c r="W25" s="55">
        <v>126</v>
      </c>
      <c r="X25" s="37">
        <v>17</v>
      </c>
      <c r="Y25" s="37">
        <v>4</v>
      </c>
      <c r="Z25" s="37">
        <v>8</v>
      </c>
      <c r="AA25" s="37">
        <v>4</v>
      </c>
      <c r="AB25" s="37">
        <v>7</v>
      </c>
      <c r="AC25" s="37">
        <v>0</v>
      </c>
      <c r="AD25" s="37">
        <v>166</v>
      </c>
      <c r="AE25" s="7"/>
      <c r="AF25" s="42">
        <v>10232.221436698768</v>
      </c>
      <c r="AG25" s="87" t="s">
        <v>489</v>
      </c>
      <c r="AH25" s="121" t="s">
        <v>515</v>
      </c>
      <c r="AI25" s="21" t="s">
        <v>516</v>
      </c>
      <c r="AJ25" s="21" t="s">
        <v>516</v>
      </c>
      <c r="AK25" s="21" t="s">
        <v>516</v>
      </c>
    </row>
    <row r="26" spans="1:107" customFormat="1" ht="15" customHeight="1" x14ac:dyDescent="0.25">
      <c r="A26" s="8">
        <v>25123</v>
      </c>
      <c r="B26" s="7" t="s">
        <v>123</v>
      </c>
      <c r="C26" s="7" t="s">
        <v>414</v>
      </c>
      <c r="D26" s="7" t="s">
        <v>124</v>
      </c>
      <c r="E26" s="13"/>
      <c r="F26" s="7">
        <v>77656</v>
      </c>
      <c r="G26" s="7" t="s">
        <v>125</v>
      </c>
      <c r="H26" s="7">
        <v>5</v>
      </c>
      <c r="I26" s="7" t="s">
        <v>71</v>
      </c>
      <c r="J26" s="21" t="s">
        <v>397</v>
      </c>
      <c r="K26" s="21" t="s">
        <v>480</v>
      </c>
      <c r="L26" s="21" t="s">
        <v>397</v>
      </c>
      <c r="M26" s="21"/>
      <c r="N26" s="7" t="s">
        <v>400</v>
      </c>
      <c r="O26" s="7">
        <v>80</v>
      </c>
      <c r="P26" s="7">
        <v>0</v>
      </c>
      <c r="Q26" s="7">
        <v>80</v>
      </c>
      <c r="R26" s="7" t="s">
        <v>75</v>
      </c>
      <c r="S26" s="42">
        <v>902266.054</v>
      </c>
      <c r="T26" s="42" t="s">
        <v>126</v>
      </c>
      <c r="U26" s="42" t="s">
        <v>127</v>
      </c>
      <c r="V26" s="55">
        <v>48199030700</v>
      </c>
      <c r="W26" s="55">
        <v>133</v>
      </c>
      <c r="X26" s="37">
        <v>17</v>
      </c>
      <c r="Y26" s="37">
        <v>4</v>
      </c>
      <c r="Z26" s="37">
        <v>8</v>
      </c>
      <c r="AA26" s="37">
        <v>4</v>
      </c>
      <c r="AB26" s="37">
        <v>0</v>
      </c>
      <c r="AC26" s="37">
        <v>0</v>
      </c>
      <c r="AD26" s="37">
        <v>166</v>
      </c>
      <c r="AE26" s="7"/>
      <c r="AF26" s="42">
        <v>11491.435972717143</v>
      </c>
      <c r="AG26" s="87" t="s">
        <v>493</v>
      </c>
      <c r="AH26" s="121" t="s">
        <v>515</v>
      </c>
      <c r="AI26" s="21" t="s">
        <v>516</v>
      </c>
      <c r="AJ26" s="21" t="s">
        <v>516</v>
      </c>
      <c r="AK26" s="21" t="s">
        <v>516</v>
      </c>
    </row>
    <row r="27" spans="1:107" customFormat="1" ht="15" customHeight="1" x14ac:dyDescent="0.25">
      <c r="A27" s="8">
        <v>25077</v>
      </c>
      <c r="B27" s="7" t="s">
        <v>115</v>
      </c>
      <c r="C27" s="7" t="s">
        <v>409</v>
      </c>
      <c r="D27" s="7" t="s">
        <v>116</v>
      </c>
      <c r="E27" s="13"/>
      <c r="F27" s="7">
        <v>78572</v>
      </c>
      <c r="G27" s="7" t="s">
        <v>117</v>
      </c>
      <c r="H27" s="7">
        <v>11</v>
      </c>
      <c r="I27" s="7" t="s">
        <v>78</v>
      </c>
      <c r="J27" s="21" t="s">
        <v>397</v>
      </c>
      <c r="K27" s="21" t="s">
        <v>480</v>
      </c>
      <c r="L27" s="21" t="s">
        <v>480</v>
      </c>
      <c r="M27" s="21" t="s">
        <v>480</v>
      </c>
      <c r="N27" s="7" t="s">
        <v>118</v>
      </c>
      <c r="O27" s="7">
        <v>64</v>
      </c>
      <c r="P27" s="7">
        <v>8</v>
      </c>
      <c r="Q27" s="7">
        <v>72</v>
      </c>
      <c r="R27" s="7" t="s">
        <v>75</v>
      </c>
      <c r="S27" s="42">
        <v>1868000</v>
      </c>
      <c r="T27" s="42" t="s">
        <v>119</v>
      </c>
      <c r="U27" s="42" t="s">
        <v>120</v>
      </c>
      <c r="V27" s="55">
        <v>48215020406</v>
      </c>
      <c r="W27" s="55">
        <v>133</v>
      </c>
      <c r="X27" s="37">
        <v>17</v>
      </c>
      <c r="Y27" s="37">
        <v>4</v>
      </c>
      <c r="Z27" s="37">
        <v>8</v>
      </c>
      <c r="AA27" s="37">
        <v>4</v>
      </c>
      <c r="AB27" s="37">
        <v>0</v>
      </c>
      <c r="AC27" s="37">
        <v>0</v>
      </c>
      <c r="AD27" s="37">
        <v>166</v>
      </c>
      <c r="AE27" s="7"/>
      <c r="AF27" s="42">
        <v>23768.506329539428</v>
      </c>
      <c r="AG27" s="87" t="s">
        <v>489</v>
      </c>
      <c r="AH27" s="121" t="s">
        <v>515</v>
      </c>
      <c r="AI27" s="21" t="s">
        <v>516</v>
      </c>
      <c r="AJ27" s="21" t="s">
        <v>516</v>
      </c>
      <c r="AK27" s="21" t="s">
        <v>516</v>
      </c>
    </row>
    <row r="28" spans="1:107" customFormat="1" ht="15" customHeight="1" x14ac:dyDescent="0.25">
      <c r="A28" s="8">
        <v>25107</v>
      </c>
      <c r="B28" s="7" t="s">
        <v>122</v>
      </c>
      <c r="C28" s="7" t="s">
        <v>413</v>
      </c>
      <c r="D28" s="7" t="s">
        <v>112</v>
      </c>
      <c r="E28" s="13"/>
      <c r="F28" s="7">
        <v>78752</v>
      </c>
      <c r="G28" s="7" t="s">
        <v>113</v>
      </c>
      <c r="H28" s="7">
        <v>7</v>
      </c>
      <c r="I28" s="7" t="s">
        <v>78</v>
      </c>
      <c r="J28" s="21" t="s">
        <v>397</v>
      </c>
      <c r="K28" s="21" t="s">
        <v>480</v>
      </c>
      <c r="L28" s="21" t="s">
        <v>480</v>
      </c>
      <c r="M28" s="21" t="s">
        <v>480</v>
      </c>
      <c r="N28" s="7" t="s">
        <v>400</v>
      </c>
      <c r="O28" s="7">
        <v>60</v>
      </c>
      <c r="P28" s="7">
        <v>0</v>
      </c>
      <c r="Q28" s="7">
        <v>60</v>
      </c>
      <c r="R28" s="7" t="s">
        <v>72</v>
      </c>
      <c r="S28" s="42">
        <v>1023464.08</v>
      </c>
      <c r="T28" s="42" t="s">
        <v>114</v>
      </c>
      <c r="U28" s="42" t="s">
        <v>408</v>
      </c>
      <c r="V28" s="55">
        <v>48453040200</v>
      </c>
      <c r="W28" s="55">
        <v>124</v>
      </c>
      <c r="X28" s="37">
        <v>17</v>
      </c>
      <c r="Y28" s="37">
        <v>4</v>
      </c>
      <c r="Z28" s="37">
        <v>8</v>
      </c>
      <c r="AA28" s="37">
        <v>4</v>
      </c>
      <c r="AB28" s="37">
        <v>7</v>
      </c>
      <c r="AC28" s="37">
        <v>0</v>
      </c>
      <c r="AD28" s="37">
        <v>164</v>
      </c>
      <c r="AE28" s="7"/>
      <c r="AF28" s="42">
        <v>3212.9866710962328</v>
      </c>
      <c r="AG28" s="87" t="s">
        <v>489</v>
      </c>
      <c r="AH28" s="121" t="s">
        <v>515</v>
      </c>
      <c r="AI28" s="21" t="s">
        <v>516</v>
      </c>
      <c r="AJ28" s="21" t="s">
        <v>516</v>
      </c>
      <c r="AK28" s="21" t="s">
        <v>516</v>
      </c>
    </row>
    <row r="29" spans="1:107" ht="15" customHeight="1" x14ac:dyDescent="0.25">
      <c r="A29" s="91" t="s">
        <v>24</v>
      </c>
      <c r="B29" s="15"/>
      <c r="C29" s="63">
        <v>14276866.699999999</v>
      </c>
      <c r="D29" s="70"/>
      <c r="E29" s="72"/>
      <c r="F29" s="69"/>
      <c r="G29" s="70"/>
      <c r="H29" s="72"/>
      <c r="I29" s="24"/>
      <c r="J29" s="22"/>
      <c r="K29" s="22"/>
      <c r="L29" s="22"/>
      <c r="N29" s="16"/>
      <c r="O29" s="16"/>
      <c r="P29" s="16"/>
      <c r="Q29" s="16"/>
      <c r="R29" s="17" t="s">
        <v>20</v>
      </c>
      <c r="S29" s="41">
        <f>SUM(S13:S28)</f>
        <v>16006864.723999999</v>
      </c>
      <c r="T29" s="18"/>
      <c r="U29" s="16"/>
      <c r="V29" s="60"/>
      <c r="W29" s="16"/>
      <c r="X29" s="18"/>
      <c r="Y29" s="18"/>
      <c r="AC29" s="34"/>
      <c r="AD29" s="34"/>
      <c r="AE29"/>
      <c r="AF29" s="38"/>
      <c r="AG29" s="87"/>
      <c r="AH29" s="120"/>
      <c r="AI29" s="120"/>
      <c r="AJ29" s="120"/>
      <c r="AK29" s="120"/>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row>
    <row r="30" spans="1:107" ht="15" customHeight="1" x14ac:dyDescent="0.25">
      <c r="A30" s="91"/>
      <c r="B30" s="19" t="s">
        <v>21</v>
      </c>
      <c r="C30" s="63">
        <v>4763956.9000000004</v>
      </c>
      <c r="D30" s="70"/>
      <c r="E30" s="72"/>
      <c r="F30" s="69"/>
      <c r="G30" s="70"/>
      <c r="H30" s="72"/>
      <c r="I30" s="24"/>
      <c r="J30" s="22"/>
      <c r="K30" s="22"/>
      <c r="L30" s="22"/>
      <c r="M30" s="22"/>
      <c r="N30" s="16"/>
      <c r="O30" s="16"/>
      <c r="P30" s="16"/>
      <c r="Q30" s="16"/>
      <c r="R30" s="17"/>
      <c r="S30" s="41"/>
      <c r="T30" s="18"/>
      <c r="U30" s="16"/>
      <c r="V30" s="60"/>
      <c r="W30" s="16"/>
      <c r="X30" s="18"/>
      <c r="Y30" s="18"/>
      <c r="AC30" s="34"/>
      <c r="AD30" s="34"/>
      <c r="AE30"/>
      <c r="AF30" s="38"/>
      <c r="AG30" s="87"/>
      <c r="AH30" s="120"/>
      <c r="AI30" s="120"/>
      <c r="AJ30" s="120"/>
      <c r="AK30" s="12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row>
    <row r="31" spans="1:107" s="30" customFormat="1" ht="15" customHeight="1" x14ac:dyDescent="0.25">
      <c r="A31" s="45"/>
      <c r="B31" s="45"/>
      <c r="C31" s="64"/>
      <c r="D31" s="73"/>
      <c r="E31" s="74"/>
      <c r="F31" s="69"/>
      <c r="G31" s="73"/>
      <c r="H31" s="74"/>
      <c r="I31" s="45"/>
      <c r="J31" s="46"/>
      <c r="K31" s="46"/>
      <c r="L31" s="46"/>
      <c r="M31" s="46"/>
      <c r="N31" s="45"/>
      <c r="O31" s="45"/>
      <c r="P31" s="45"/>
      <c r="Q31" s="45"/>
      <c r="R31" s="45"/>
      <c r="S31" s="47"/>
      <c r="T31" s="45"/>
      <c r="U31" s="45"/>
      <c r="V31" s="61"/>
      <c r="W31" s="45"/>
      <c r="X31" s="84"/>
      <c r="Y31" s="84"/>
      <c r="Z31" s="84"/>
      <c r="AA31" s="84"/>
      <c r="AB31" s="84"/>
      <c r="AC31" s="85"/>
      <c r="AD31" s="85"/>
      <c r="AE31" s="29"/>
      <c r="AF31" s="82"/>
      <c r="AG31" s="88"/>
      <c r="AH31" s="120"/>
      <c r="AI31" s="120"/>
      <c r="AJ31" s="120"/>
      <c r="AK31" s="120"/>
    </row>
    <row r="32" spans="1:107" ht="15" customHeight="1" x14ac:dyDescent="0.25">
      <c r="A32" s="92" t="s">
        <v>23</v>
      </c>
      <c r="C32" s="35"/>
      <c r="D32" s="13"/>
      <c r="E32" s="69"/>
      <c r="F32" s="69"/>
      <c r="G32" s="13"/>
      <c r="H32" s="69"/>
      <c r="AH32" s="120"/>
      <c r="AI32" s="120"/>
      <c r="AJ32" s="120"/>
      <c r="AK32" s="120"/>
    </row>
    <row r="33" spans="1:107" s="112" customFormat="1" ht="15" x14ac:dyDescent="0.25">
      <c r="A33" s="105">
        <v>25245</v>
      </c>
      <c r="B33" s="106" t="s">
        <v>142</v>
      </c>
      <c r="C33" s="106" t="s">
        <v>143</v>
      </c>
      <c r="D33" s="106" t="s">
        <v>144</v>
      </c>
      <c r="E33" s="106"/>
      <c r="F33" s="106">
        <v>79336</v>
      </c>
      <c r="G33" s="106" t="s">
        <v>145</v>
      </c>
      <c r="H33" s="106">
        <v>1</v>
      </c>
      <c r="I33" s="106" t="s">
        <v>71</v>
      </c>
      <c r="J33" s="107" t="s">
        <v>480</v>
      </c>
      <c r="K33" s="107" t="s">
        <v>480</v>
      </c>
      <c r="L33" s="107" t="s">
        <v>480</v>
      </c>
      <c r="M33" s="107" t="s">
        <v>481</v>
      </c>
      <c r="N33" s="106" t="s">
        <v>118</v>
      </c>
      <c r="O33" s="106">
        <v>53</v>
      </c>
      <c r="P33" s="106">
        <v>0</v>
      </c>
      <c r="Q33" s="106">
        <v>53</v>
      </c>
      <c r="R33" s="106" t="s">
        <v>75</v>
      </c>
      <c r="S33" s="108">
        <v>1165925</v>
      </c>
      <c r="T33" s="108" t="s">
        <v>146</v>
      </c>
      <c r="U33" s="108" t="s">
        <v>147</v>
      </c>
      <c r="V33" s="109">
        <v>48219950500</v>
      </c>
      <c r="W33" s="109">
        <v>138</v>
      </c>
      <c r="X33" s="110">
        <v>17</v>
      </c>
      <c r="Y33" s="110">
        <v>4</v>
      </c>
      <c r="Z33" s="110">
        <v>8</v>
      </c>
      <c r="AA33" s="110">
        <v>4</v>
      </c>
      <c r="AB33" s="110">
        <v>0</v>
      </c>
      <c r="AC33" s="110">
        <v>1</v>
      </c>
      <c r="AD33" s="110">
        <v>167</v>
      </c>
      <c r="AE33" s="106"/>
      <c r="AF33" s="108">
        <v>2496.5431281608435</v>
      </c>
      <c r="AG33" s="113" t="s">
        <v>495</v>
      </c>
      <c r="AH33" s="124"/>
      <c r="AI33" s="124"/>
      <c r="AJ33" s="124"/>
      <c r="AK33" s="124"/>
    </row>
    <row r="34" spans="1:107" ht="15" customHeight="1" x14ac:dyDescent="0.25">
      <c r="A34" s="91" t="s">
        <v>24</v>
      </c>
      <c r="B34" s="15"/>
      <c r="C34" s="63">
        <v>807393.82124694821</v>
      </c>
      <c r="D34" s="70"/>
      <c r="E34" s="72"/>
      <c r="F34" s="69"/>
      <c r="G34" s="70"/>
      <c r="H34" s="72"/>
      <c r="I34" s="24"/>
      <c r="J34" s="22"/>
      <c r="K34" s="22"/>
      <c r="L34" s="22"/>
      <c r="M34" s="22"/>
      <c r="N34" s="16"/>
      <c r="O34" s="16"/>
      <c r="P34" s="16"/>
      <c r="Q34" s="16"/>
      <c r="R34" s="17" t="s">
        <v>20</v>
      </c>
      <c r="S34" s="41">
        <f>SUM(S33:S33)</f>
        <v>1165925</v>
      </c>
      <c r="T34" s="18"/>
      <c r="U34" s="16"/>
      <c r="V34" s="60"/>
      <c r="W34" s="16"/>
      <c r="X34" s="18"/>
      <c r="Y34" s="18"/>
      <c r="AC34" s="34"/>
      <c r="AD34" s="34"/>
      <c r="AE34"/>
      <c r="AF34" s="38"/>
      <c r="AG34" s="87"/>
      <c r="AH34" s="120"/>
      <c r="AI34" s="120"/>
      <c r="AJ34" s="120"/>
      <c r="AK34" s="120"/>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row>
    <row r="35" spans="1:107" ht="15" customHeight="1" collapsed="1" x14ac:dyDescent="0.25">
      <c r="C35" s="35"/>
      <c r="D35" s="13"/>
      <c r="E35" s="69"/>
      <c r="F35" s="69"/>
      <c r="G35" s="13"/>
      <c r="H35" s="69"/>
      <c r="AG35" s="87"/>
      <c r="AH35" s="120"/>
      <c r="AI35" s="120"/>
      <c r="AJ35" s="120"/>
      <c r="AK35" s="120"/>
    </row>
    <row r="36" spans="1:107" customFormat="1" ht="15" customHeight="1" x14ac:dyDescent="0.25">
      <c r="A36" s="93" t="s">
        <v>30</v>
      </c>
      <c r="B36" s="7"/>
      <c r="C36" s="35"/>
      <c r="D36" s="13"/>
      <c r="E36" s="69"/>
      <c r="F36" s="69"/>
      <c r="G36" s="13"/>
      <c r="H36" s="69"/>
      <c r="I36" s="7"/>
      <c r="J36" s="21"/>
      <c r="K36" s="21"/>
      <c r="L36" s="21"/>
      <c r="M36" s="21"/>
      <c r="N36" s="7"/>
      <c r="O36" s="7"/>
      <c r="P36" s="7"/>
      <c r="Q36" s="7"/>
      <c r="R36" s="7"/>
      <c r="S36" s="42"/>
      <c r="T36" s="7"/>
      <c r="U36" s="7"/>
      <c r="V36" s="55"/>
      <c r="W36" s="7"/>
      <c r="X36" s="8"/>
      <c r="Y36" s="8"/>
      <c r="Z36" s="8"/>
      <c r="AA36" s="35"/>
      <c r="AB36" s="35"/>
      <c r="AC36" s="34"/>
      <c r="AD36" s="34"/>
      <c r="AF36" s="38"/>
      <c r="AG36" s="21"/>
      <c r="AH36" s="120"/>
      <c r="AI36" s="120"/>
      <c r="AJ36" s="120"/>
      <c r="AK36" s="120"/>
    </row>
    <row r="37" spans="1:107" customFormat="1" ht="15" customHeight="1" x14ac:dyDescent="0.25">
      <c r="A37" s="7">
        <v>25145</v>
      </c>
      <c r="B37" s="7" t="s">
        <v>154</v>
      </c>
      <c r="C37" s="7" t="s">
        <v>155</v>
      </c>
      <c r="D37" s="7" t="s">
        <v>156</v>
      </c>
      <c r="E37" s="7"/>
      <c r="F37" s="7">
        <v>79423</v>
      </c>
      <c r="G37" s="7" t="s">
        <v>156</v>
      </c>
      <c r="H37" s="7">
        <v>1</v>
      </c>
      <c r="I37" s="7" t="s">
        <v>78</v>
      </c>
      <c r="J37" s="21" t="s">
        <v>480</v>
      </c>
      <c r="K37" s="21" t="s">
        <v>480</v>
      </c>
      <c r="L37" s="21" t="s">
        <v>480</v>
      </c>
      <c r="M37" s="21" t="s">
        <v>480</v>
      </c>
      <c r="N37" s="7" t="s">
        <v>118</v>
      </c>
      <c r="O37" s="7">
        <v>80</v>
      </c>
      <c r="P37" s="7">
        <v>0</v>
      </c>
      <c r="Q37" s="7">
        <v>80</v>
      </c>
      <c r="R37" s="7" t="s">
        <v>75</v>
      </c>
      <c r="S37" s="42">
        <v>1366814.08</v>
      </c>
      <c r="T37" s="42" t="s">
        <v>157</v>
      </c>
      <c r="U37" s="42" t="s">
        <v>158</v>
      </c>
      <c r="V37" s="55">
        <v>48303010506</v>
      </c>
      <c r="W37" s="55">
        <v>139</v>
      </c>
      <c r="X37" s="37">
        <v>17</v>
      </c>
      <c r="Y37" s="37">
        <v>4</v>
      </c>
      <c r="Z37" s="37">
        <v>8</v>
      </c>
      <c r="AA37" s="37">
        <v>4</v>
      </c>
      <c r="AB37" s="37">
        <v>0</v>
      </c>
      <c r="AC37" s="37">
        <v>1</v>
      </c>
      <c r="AD37" s="37">
        <v>173</v>
      </c>
      <c r="AE37" s="7"/>
      <c r="AF37" s="42">
        <v>7112.5072003062232</v>
      </c>
      <c r="AG37" s="87" t="s">
        <v>494</v>
      </c>
      <c r="AH37" s="121" t="s">
        <v>515</v>
      </c>
      <c r="AI37" s="21" t="s">
        <v>516</v>
      </c>
      <c r="AJ37" s="21" t="s">
        <v>516</v>
      </c>
      <c r="AK37" s="21" t="s">
        <v>516</v>
      </c>
    </row>
    <row r="38" spans="1:107" s="80" customFormat="1" ht="15" customHeight="1" x14ac:dyDescent="0.25">
      <c r="A38" s="7">
        <v>25046</v>
      </c>
      <c r="B38" s="7" t="s">
        <v>149</v>
      </c>
      <c r="C38" s="7" t="s">
        <v>150</v>
      </c>
      <c r="D38" s="7" t="s">
        <v>148</v>
      </c>
      <c r="E38" s="7"/>
      <c r="F38" s="7">
        <v>79103</v>
      </c>
      <c r="G38" s="7" t="s">
        <v>151</v>
      </c>
      <c r="H38" s="7">
        <v>1</v>
      </c>
      <c r="I38" s="7" t="s">
        <v>78</v>
      </c>
      <c r="J38" s="21" t="s">
        <v>480</v>
      </c>
      <c r="K38" s="21" t="s">
        <v>480</v>
      </c>
      <c r="L38" s="21" t="s">
        <v>397</v>
      </c>
      <c r="M38" s="21" t="s">
        <v>481</v>
      </c>
      <c r="N38" s="7" t="s">
        <v>118</v>
      </c>
      <c r="O38" s="7">
        <v>80</v>
      </c>
      <c r="P38" s="7">
        <v>0</v>
      </c>
      <c r="Q38" s="7">
        <v>80</v>
      </c>
      <c r="R38" s="7" t="s">
        <v>75</v>
      </c>
      <c r="S38" s="42">
        <v>1926703</v>
      </c>
      <c r="T38" s="42" t="s">
        <v>152</v>
      </c>
      <c r="U38" s="42" t="s">
        <v>153</v>
      </c>
      <c r="V38" s="55">
        <v>48375010600</v>
      </c>
      <c r="W38" s="55">
        <v>131</v>
      </c>
      <c r="X38" s="37">
        <v>17</v>
      </c>
      <c r="Y38" s="37">
        <v>4</v>
      </c>
      <c r="Z38" s="37">
        <v>8</v>
      </c>
      <c r="AA38" s="37">
        <v>4</v>
      </c>
      <c r="AB38" s="37">
        <v>7</v>
      </c>
      <c r="AC38" s="37">
        <v>1</v>
      </c>
      <c r="AD38" s="37">
        <v>172</v>
      </c>
      <c r="AE38" s="7"/>
      <c r="AF38" s="42">
        <v>2841.9649657629284</v>
      </c>
      <c r="AG38" s="87"/>
      <c r="AH38" s="121" t="s">
        <v>515</v>
      </c>
      <c r="AI38" s="21" t="s">
        <v>516</v>
      </c>
      <c r="AJ38" s="21" t="s">
        <v>516</v>
      </c>
      <c r="AK38" s="21" t="s">
        <v>516</v>
      </c>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row>
    <row r="39" spans="1:107" ht="15" customHeight="1" x14ac:dyDescent="0.25">
      <c r="A39" s="91" t="s">
        <v>24</v>
      </c>
      <c r="B39" s="15"/>
      <c r="C39" s="63">
        <v>2312428.1082946132</v>
      </c>
      <c r="D39" s="70"/>
      <c r="E39" s="72"/>
      <c r="F39" s="69"/>
      <c r="G39" s="70"/>
      <c r="H39" s="72"/>
      <c r="I39" s="24"/>
      <c r="J39" s="22"/>
      <c r="K39" s="22"/>
      <c r="L39" s="22"/>
      <c r="M39" s="22"/>
      <c r="N39" s="16"/>
      <c r="O39" s="16"/>
      <c r="P39" s="16"/>
      <c r="Q39" s="16"/>
      <c r="R39" s="17" t="s">
        <v>20</v>
      </c>
      <c r="S39" s="41">
        <f>SUM(S37:S38)</f>
        <v>3293517.08</v>
      </c>
      <c r="T39" s="18"/>
      <c r="U39" s="16"/>
      <c r="V39" s="60"/>
      <c r="W39" s="16"/>
      <c r="X39" s="18"/>
      <c r="Y39" s="18"/>
      <c r="AC39" s="34"/>
      <c r="AD39" s="34"/>
      <c r="AE39"/>
      <c r="AF39" s="38"/>
      <c r="AG39" s="87"/>
      <c r="AH39" s="120"/>
      <c r="AI39" s="120"/>
      <c r="AJ39" s="120"/>
      <c r="AK39" s="120"/>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row>
    <row r="40" spans="1:107" ht="15" customHeight="1" collapsed="1" x14ac:dyDescent="0.25">
      <c r="C40" s="35"/>
      <c r="D40" s="13"/>
      <c r="E40" s="69"/>
      <c r="F40" s="69"/>
      <c r="G40" s="13"/>
      <c r="H40" s="75"/>
      <c r="AH40" s="120"/>
      <c r="AI40" s="120"/>
      <c r="AJ40" s="120"/>
      <c r="AK40" s="120"/>
    </row>
    <row r="41" spans="1:107" ht="15" customHeight="1" x14ac:dyDescent="0.25">
      <c r="A41" s="92" t="s">
        <v>31</v>
      </c>
      <c r="C41" s="35"/>
      <c r="D41" s="13"/>
      <c r="E41" s="69"/>
      <c r="F41" s="69"/>
      <c r="G41" s="13"/>
      <c r="H41" s="75"/>
      <c r="AH41" s="120"/>
      <c r="AI41" s="120"/>
      <c r="AJ41" s="120"/>
      <c r="AK41" s="120"/>
    </row>
    <row r="42" spans="1:107" customFormat="1" ht="15" x14ac:dyDescent="0.25">
      <c r="A42" s="8">
        <v>25088</v>
      </c>
      <c r="B42" s="7" t="s">
        <v>163</v>
      </c>
      <c r="C42" s="7" t="s">
        <v>164</v>
      </c>
      <c r="D42" s="7" t="s">
        <v>165</v>
      </c>
      <c r="E42" s="13"/>
      <c r="F42" s="7">
        <v>76802</v>
      </c>
      <c r="G42" s="7" t="s">
        <v>166</v>
      </c>
      <c r="H42" s="7">
        <v>2</v>
      </c>
      <c r="I42" s="7" t="s">
        <v>71</v>
      </c>
      <c r="J42" s="21" t="s">
        <v>480</v>
      </c>
      <c r="K42" s="21" t="s">
        <v>480</v>
      </c>
      <c r="L42" s="21" t="s">
        <v>480</v>
      </c>
      <c r="M42" s="21" t="s">
        <v>480</v>
      </c>
      <c r="N42" s="7" t="s">
        <v>118</v>
      </c>
      <c r="O42" s="7">
        <v>52</v>
      </c>
      <c r="P42" s="7">
        <v>0</v>
      </c>
      <c r="Q42" s="7">
        <v>52</v>
      </c>
      <c r="R42" s="7" t="s">
        <v>72</v>
      </c>
      <c r="S42" s="42">
        <v>1125000</v>
      </c>
      <c r="T42" s="42" t="s">
        <v>241</v>
      </c>
      <c r="U42" s="42" t="s">
        <v>416</v>
      </c>
      <c r="V42" s="55">
        <v>48049951200</v>
      </c>
      <c r="W42" s="55">
        <v>134</v>
      </c>
      <c r="X42" s="37">
        <v>17</v>
      </c>
      <c r="Y42" s="37">
        <v>4</v>
      </c>
      <c r="Z42" s="37">
        <v>8</v>
      </c>
      <c r="AA42" s="37">
        <v>4</v>
      </c>
      <c r="AB42" s="37">
        <v>0</v>
      </c>
      <c r="AC42" s="37">
        <v>1</v>
      </c>
      <c r="AD42" s="37">
        <v>168</v>
      </c>
      <c r="AE42" s="7"/>
      <c r="AF42" s="42">
        <v>12203.666259539234</v>
      </c>
      <c r="AG42" s="87" t="s">
        <v>493</v>
      </c>
      <c r="AH42" s="121" t="s">
        <v>515</v>
      </c>
      <c r="AI42" s="21" t="s">
        <v>516</v>
      </c>
      <c r="AJ42" s="21" t="s">
        <v>516</v>
      </c>
      <c r="AK42" s="21" t="s">
        <v>516</v>
      </c>
    </row>
    <row r="43" spans="1:107" ht="15" customHeight="1" x14ac:dyDescent="0.25">
      <c r="A43" s="91" t="s">
        <v>24</v>
      </c>
      <c r="B43" s="15"/>
      <c r="C43" s="63">
        <v>750000</v>
      </c>
      <c r="D43" s="70"/>
      <c r="E43" s="72"/>
      <c r="F43" s="69"/>
      <c r="G43" s="70"/>
      <c r="H43" s="76"/>
      <c r="I43" s="24"/>
      <c r="J43" s="22"/>
      <c r="K43" s="22"/>
      <c r="L43" s="22"/>
      <c r="M43" s="22"/>
      <c r="N43" s="16"/>
      <c r="O43" s="16"/>
      <c r="P43" s="16"/>
      <c r="Q43" s="16"/>
      <c r="R43" s="17" t="s">
        <v>20</v>
      </c>
      <c r="S43" s="41">
        <f>SUM(S42:S42)</f>
        <v>1125000</v>
      </c>
      <c r="T43" s="18"/>
      <c r="U43" s="16"/>
      <c r="V43" s="60"/>
      <c r="W43" s="16"/>
      <c r="X43" s="18"/>
      <c r="Y43" s="18"/>
      <c r="AC43" s="34"/>
      <c r="AD43" s="34"/>
      <c r="AE43"/>
      <c r="AF43" s="38"/>
      <c r="AG43" s="87"/>
      <c r="AH43" s="120"/>
      <c r="AI43" s="120"/>
      <c r="AJ43" s="120"/>
      <c r="AK43" s="120"/>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row>
    <row r="44" spans="1:107" ht="15" customHeight="1" collapsed="1" x14ac:dyDescent="0.25">
      <c r="C44" s="35"/>
      <c r="D44" s="13"/>
      <c r="E44" s="69"/>
      <c r="F44" s="69"/>
      <c r="G44" s="13"/>
      <c r="H44" s="75"/>
      <c r="AH44" s="120"/>
      <c r="AI44" s="120"/>
      <c r="AJ44" s="120"/>
      <c r="AK44" s="120"/>
    </row>
    <row r="45" spans="1:107" customFormat="1" ht="15" customHeight="1" x14ac:dyDescent="0.25">
      <c r="A45" s="93" t="s">
        <v>32</v>
      </c>
      <c r="B45" s="7"/>
      <c r="C45" s="35"/>
      <c r="D45" s="13"/>
      <c r="E45" s="69"/>
      <c r="F45" s="69"/>
      <c r="G45" s="13"/>
      <c r="H45" s="75"/>
      <c r="I45" s="7"/>
      <c r="J45" s="21"/>
      <c r="K45" s="21"/>
      <c r="L45" s="21"/>
      <c r="M45" s="21"/>
      <c r="N45" s="7"/>
      <c r="O45" s="7"/>
      <c r="P45" s="7"/>
      <c r="Q45" s="7"/>
      <c r="R45" s="7"/>
      <c r="S45" s="42"/>
      <c r="T45" s="7"/>
      <c r="U45" s="7"/>
      <c r="V45" s="55"/>
      <c r="W45" s="7"/>
      <c r="X45" s="8"/>
      <c r="Y45" s="8"/>
      <c r="Z45" s="8"/>
      <c r="AA45" s="35"/>
      <c r="AB45" s="35"/>
      <c r="AC45" s="34"/>
      <c r="AD45" s="34"/>
      <c r="AF45" s="38"/>
      <c r="AG45" s="87"/>
      <c r="AH45" s="120"/>
      <c r="AI45" s="120"/>
      <c r="AJ45" s="120"/>
      <c r="AK45" s="120"/>
    </row>
    <row r="46" spans="1:107" customFormat="1" ht="15" x14ac:dyDescent="0.25">
      <c r="A46" s="8">
        <v>25163</v>
      </c>
      <c r="B46" s="7" t="s">
        <v>171</v>
      </c>
      <c r="C46" s="7" t="s">
        <v>172</v>
      </c>
      <c r="D46" s="7" t="s">
        <v>169</v>
      </c>
      <c r="E46" s="13"/>
      <c r="F46" s="7">
        <v>79601</v>
      </c>
      <c r="G46" s="7" t="s">
        <v>170</v>
      </c>
      <c r="H46" s="7">
        <v>2</v>
      </c>
      <c r="I46" s="7" t="s">
        <v>78</v>
      </c>
      <c r="J46" s="21" t="s">
        <v>480</v>
      </c>
      <c r="K46" s="21" t="s">
        <v>480</v>
      </c>
      <c r="L46" s="21" t="s">
        <v>480</v>
      </c>
      <c r="M46" s="21" t="s">
        <v>481</v>
      </c>
      <c r="N46" s="7" t="s">
        <v>484</v>
      </c>
      <c r="O46" s="7">
        <v>40</v>
      </c>
      <c r="P46" s="7">
        <v>9</v>
      </c>
      <c r="Q46" s="7">
        <v>49</v>
      </c>
      <c r="R46" s="7" t="s">
        <v>75</v>
      </c>
      <c r="S46" s="42">
        <v>1139031</v>
      </c>
      <c r="T46" s="42" t="s">
        <v>173</v>
      </c>
      <c r="U46" s="42" t="s">
        <v>100</v>
      </c>
      <c r="V46" s="55">
        <v>48441011000</v>
      </c>
      <c r="W46" s="55">
        <v>141</v>
      </c>
      <c r="X46" s="37">
        <v>17</v>
      </c>
      <c r="Y46" s="37">
        <v>4</v>
      </c>
      <c r="Z46" s="37">
        <v>8</v>
      </c>
      <c r="AA46" s="37">
        <v>4</v>
      </c>
      <c r="AB46" s="37">
        <v>0</v>
      </c>
      <c r="AC46" s="37">
        <v>1</v>
      </c>
      <c r="AD46" s="37">
        <v>175</v>
      </c>
      <c r="AE46" s="7"/>
      <c r="AF46" s="42">
        <v>4791.9329753743423</v>
      </c>
      <c r="AG46" s="87" t="s">
        <v>493</v>
      </c>
      <c r="AH46" s="120" t="s">
        <v>515</v>
      </c>
      <c r="AI46" s="21" t="s">
        <v>516</v>
      </c>
      <c r="AJ46" s="21" t="s">
        <v>516</v>
      </c>
      <c r="AK46" s="21" t="s">
        <v>516</v>
      </c>
    </row>
    <row r="47" spans="1:107" ht="15" customHeight="1" x14ac:dyDescent="0.25">
      <c r="A47" s="91" t="s">
        <v>24</v>
      </c>
      <c r="B47" s="15"/>
      <c r="C47" s="63">
        <v>1688828.3229677565</v>
      </c>
      <c r="D47" s="70"/>
      <c r="E47" s="72"/>
      <c r="F47" s="69"/>
      <c r="G47" s="70"/>
      <c r="H47" s="76"/>
      <c r="I47" s="24"/>
      <c r="J47" s="22"/>
      <c r="K47" s="22"/>
      <c r="L47" s="22"/>
      <c r="M47" s="22"/>
      <c r="N47" s="16"/>
      <c r="O47" s="16"/>
      <c r="P47" s="16"/>
      <c r="Q47" s="16"/>
      <c r="R47" s="17" t="s">
        <v>20</v>
      </c>
      <c r="S47" s="41">
        <f>SUM(S46:S46)</f>
        <v>1139031</v>
      </c>
      <c r="T47" s="18"/>
      <c r="U47" s="16"/>
      <c r="V47" s="60"/>
      <c r="W47" s="16"/>
      <c r="X47" s="18"/>
      <c r="Y47" s="18"/>
      <c r="AC47" s="34"/>
      <c r="AD47" s="34"/>
      <c r="AE47"/>
      <c r="AF47" s="38"/>
      <c r="AG47" s="87"/>
      <c r="AH47" s="120"/>
      <c r="AI47" s="120"/>
      <c r="AJ47" s="120"/>
      <c r="AK47" s="120"/>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row>
    <row r="48" spans="1:107" ht="15" customHeight="1" collapsed="1" x14ac:dyDescent="0.25">
      <c r="C48" s="35"/>
      <c r="D48" s="13"/>
      <c r="E48" s="69"/>
      <c r="F48" s="69"/>
      <c r="G48" s="13"/>
      <c r="H48" s="75"/>
      <c r="AH48" s="120"/>
      <c r="AI48" s="120"/>
      <c r="AJ48" s="120"/>
      <c r="AK48" s="120"/>
    </row>
    <row r="49" spans="1:107" customFormat="1" ht="15" customHeight="1" x14ac:dyDescent="0.25">
      <c r="A49" s="92" t="s">
        <v>33</v>
      </c>
      <c r="B49" s="7"/>
      <c r="C49" s="35"/>
      <c r="D49" s="13"/>
      <c r="E49" s="69"/>
      <c r="F49" s="69"/>
      <c r="G49" s="13"/>
      <c r="H49" s="75"/>
      <c r="I49" s="7"/>
      <c r="J49" s="21"/>
      <c r="K49" s="21"/>
      <c r="L49" s="21"/>
      <c r="M49" s="21"/>
      <c r="N49" s="7"/>
      <c r="O49" s="7"/>
      <c r="P49" s="7"/>
      <c r="Q49" s="7"/>
      <c r="R49" s="7"/>
      <c r="S49" s="42"/>
      <c r="T49" s="7"/>
      <c r="U49" s="7"/>
      <c r="V49" s="55"/>
      <c r="W49" s="7"/>
      <c r="X49" s="8"/>
      <c r="Y49" s="8"/>
      <c r="Z49" s="8"/>
      <c r="AA49" s="35"/>
      <c r="AB49" s="35"/>
      <c r="AC49" s="34"/>
      <c r="AD49" s="34"/>
      <c r="AF49" s="38"/>
      <c r="AG49" s="87"/>
      <c r="AH49" s="120"/>
      <c r="AI49" s="120"/>
      <c r="AJ49" s="120"/>
      <c r="AK49" s="120"/>
    </row>
    <row r="50" spans="1:107" s="112" customFormat="1" ht="15" customHeight="1" x14ac:dyDescent="0.25">
      <c r="A50" s="8">
        <v>25017</v>
      </c>
      <c r="B50" s="7" t="s">
        <v>174</v>
      </c>
      <c r="C50" s="7" t="s">
        <v>175</v>
      </c>
      <c r="D50" s="7" t="s">
        <v>176</v>
      </c>
      <c r="E50" s="13"/>
      <c r="F50" s="7">
        <v>75110</v>
      </c>
      <c r="G50" s="7" t="s">
        <v>177</v>
      </c>
      <c r="H50" s="7">
        <v>3</v>
      </c>
      <c r="I50" s="7" t="s">
        <v>71</v>
      </c>
      <c r="J50" s="21" t="s">
        <v>480</v>
      </c>
      <c r="K50" s="21" t="s">
        <v>480</v>
      </c>
      <c r="L50" s="21" t="s">
        <v>480</v>
      </c>
      <c r="M50" s="21" t="s">
        <v>481</v>
      </c>
      <c r="N50" s="7" t="s">
        <v>118</v>
      </c>
      <c r="O50" s="7">
        <v>36</v>
      </c>
      <c r="P50" s="7">
        <v>0</v>
      </c>
      <c r="Q50" s="7">
        <v>36</v>
      </c>
      <c r="R50" s="7" t="s">
        <v>75</v>
      </c>
      <c r="S50" s="42">
        <v>1154115</v>
      </c>
      <c r="T50" s="42" t="s">
        <v>178</v>
      </c>
      <c r="U50" s="42" t="s">
        <v>179</v>
      </c>
      <c r="V50" s="55">
        <v>48349970302</v>
      </c>
      <c r="W50" s="55">
        <v>103</v>
      </c>
      <c r="X50" s="37">
        <v>17</v>
      </c>
      <c r="Y50" s="37">
        <v>4</v>
      </c>
      <c r="Z50" s="37">
        <v>8</v>
      </c>
      <c r="AA50" s="37">
        <v>4</v>
      </c>
      <c r="AB50" s="37">
        <v>0</v>
      </c>
      <c r="AC50" s="37">
        <v>1</v>
      </c>
      <c r="AD50" s="37">
        <v>137</v>
      </c>
      <c r="AE50" s="7"/>
      <c r="AF50" s="42">
        <v>4146.99304142045</v>
      </c>
      <c r="AG50" s="87"/>
      <c r="AH50" s="126" t="s">
        <v>522</v>
      </c>
      <c r="AI50" s="127" t="s">
        <v>518</v>
      </c>
      <c r="AJ50" s="69" t="s">
        <v>516</v>
      </c>
      <c r="AK50" s="128" t="s">
        <v>517</v>
      </c>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row>
    <row r="51" spans="1:107" s="80" customFormat="1" ht="15" customHeight="1" x14ac:dyDescent="0.25">
      <c r="A51" s="105">
        <v>25230</v>
      </c>
      <c r="B51" s="106" t="s">
        <v>180</v>
      </c>
      <c r="C51" s="106" t="s">
        <v>181</v>
      </c>
      <c r="D51" s="106" t="s">
        <v>182</v>
      </c>
      <c r="E51" s="106"/>
      <c r="F51" s="106">
        <v>76048</v>
      </c>
      <c r="G51" s="106" t="s">
        <v>183</v>
      </c>
      <c r="H51" s="106">
        <v>3</v>
      </c>
      <c r="I51" s="106" t="s">
        <v>71</v>
      </c>
      <c r="J51" s="107" t="s">
        <v>480</v>
      </c>
      <c r="K51" s="107" t="s">
        <v>480</v>
      </c>
      <c r="L51" s="107" t="s">
        <v>480</v>
      </c>
      <c r="M51" s="107" t="s">
        <v>481</v>
      </c>
      <c r="N51" s="106" t="s">
        <v>118</v>
      </c>
      <c r="O51" s="106">
        <v>52</v>
      </c>
      <c r="P51" s="106">
        <v>0</v>
      </c>
      <c r="Q51" s="106">
        <v>52</v>
      </c>
      <c r="R51" s="106" t="s">
        <v>72</v>
      </c>
      <c r="S51" s="108">
        <v>769410</v>
      </c>
      <c r="T51" s="108" t="s">
        <v>224</v>
      </c>
      <c r="U51" s="108" t="s">
        <v>184</v>
      </c>
      <c r="V51" s="109">
        <v>48221160303</v>
      </c>
      <c r="W51" s="109">
        <v>136</v>
      </c>
      <c r="X51" s="110">
        <v>17</v>
      </c>
      <c r="Y51" s="110">
        <v>4</v>
      </c>
      <c r="Z51" s="110">
        <v>8</v>
      </c>
      <c r="AA51" s="110">
        <v>4</v>
      </c>
      <c r="AB51" s="110">
        <v>0</v>
      </c>
      <c r="AC51" s="110">
        <v>1</v>
      </c>
      <c r="AD51" s="110">
        <v>170</v>
      </c>
      <c r="AE51" s="106"/>
      <c r="AF51" s="108">
        <v>6348.8483367825638</v>
      </c>
      <c r="AG51" s="113"/>
      <c r="AH51" s="125"/>
      <c r="AI51" s="107"/>
      <c r="AJ51" s="107"/>
      <c r="AK51" s="107"/>
      <c r="AL51" s="112"/>
      <c r="AM51" s="112"/>
      <c r="AN51" s="112"/>
      <c r="AO51" s="112"/>
      <c r="AP51" s="112"/>
      <c r="AQ51" s="112"/>
      <c r="AR51" s="112"/>
      <c r="AS51" s="112"/>
      <c r="AT51" s="112"/>
      <c r="AU51" s="112"/>
      <c r="AV51" s="112"/>
      <c r="AW51" s="112"/>
      <c r="AX51" s="112"/>
      <c r="AY51" s="112"/>
      <c r="AZ51" s="112"/>
      <c r="BA51" s="112"/>
      <c r="BB51" s="112"/>
      <c r="BC51" s="112"/>
      <c r="BD51" s="112"/>
      <c r="BE51" s="112"/>
      <c r="BF51" s="112"/>
      <c r="BG51" s="112"/>
      <c r="BH51" s="112"/>
      <c r="BI51" s="112"/>
      <c r="BJ51" s="112"/>
      <c r="BK51" s="112"/>
      <c r="BL51" s="112"/>
      <c r="BM51" s="112"/>
      <c r="BN51" s="112"/>
      <c r="BO51" s="112"/>
      <c r="BP51" s="112"/>
      <c r="BQ51" s="112"/>
      <c r="BR51" s="112"/>
      <c r="BS51" s="112"/>
      <c r="BT51" s="112"/>
      <c r="BU51" s="112"/>
      <c r="BV51" s="112"/>
      <c r="BW51" s="112"/>
      <c r="BX51" s="112"/>
      <c r="BY51" s="112"/>
      <c r="BZ51" s="112"/>
      <c r="CA51" s="112"/>
      <c r="CB51" s="112"/>
      <c r="CC51" s="112"/>
      <c r="CD51" s="112"/>
      <c r="CE51" s="112"/>
      <c r="CF51" s="112"/>
      <c r="CG51" s="112"/>
      <c r="CH51" s="112"/>
      <c r="CI51" s="112"/>
      <c r="CJ51" s="112"/>
      <c r="CK51" s="112"/>
      <c r="CL51" s="112"/>
      <c r="CM51" s="112"/>
      <c r="CN51" s="112"/>
      <c r="CO51" s="112"/>
      <c r="CP51" s="112"/>
      <c r="CQ51" s="112"/>
      <c r="CR51" s="112"/>
      <c r="CS51" s="112"/>
      <c r="CT51" s="112"/>
      <c r="CU51" s="112"/>
      <c r="CV51" s="112"/>
      <c r="CW51" s="112"/>
      <c r="CX51" s="112"/>
      <c r="CY51" s="112"/>
      <c r="CZ51" s="112"/>
      <c r="DA51" s="112"/>
      <c r="DB51" s="112"/>
      <c r="DC51" s="112"/>
    </row>
    <row r="52" spans="1:107" ht="15" customHeight="1" x14ac:dyDescent="0.25">
      <c r="A52" s="91" t="s">
        <v>24</v>
      </c>
      <c r="B52" s="15"/>
      <c r="C52" s="63">
        <v>799165.29391436488</v>
      </c>
      <c r="D52" s="70"/>
      <c r="E52" s="72"/>
      <c r="F52" s="69"/>
      <c r="G52" s="70"/>
      <c r="H52" s="76"/>
      <c r="I52" s="24"/>
      <c r="J52" s="22"/>
      <c r="K52" s="22"/>
      <c r="L52" s="22"/>
      <c r="M52" s="22"/>
      <c r="N52" s="16"/>
      <c r="O52" s="16"/>
      <c r="P52" s="16"/>
      <c r="Q52" s="16"/>
      <c r="R52" s="17" t="s">
        <v>20</v>
      </c>
      <c r="S52" s="41">
        <f>SUM(S50:S51)</f>
        <v>1923525</v>
      </c>
      <c r="T52" s="18"/>
      <c r="U52" s="16"/>
      <c r="V52" s="60"/>
      <c r="W52" s="16"/>
      <c r="X52" s="18"/>
      <c r="Y52" s="18"/>
      <c r="AC52" s="34"/>
      <c r="AD52" s="34"/>
      <c r="AE52"/>
      <c r="AF52" s="38"/>
      <c r="AG52" s="87"/>
      <c r="AH52" s="120"/>
      <c r="AI52" s="120"/>
      <c r="AJ52" s="120"/>
      <c r="AK52" s="120"/>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row>
    <row r="53" spans="1:107" ht="15" customHeight="1" collapsed="1" x14ac:dyDescent="0.25">
      <c r="C53" s="35"/>
      <c r="D53" s="13"/>
      <c r="E53" s="69"/>
      <c r="F53" s="69"/>
      <c r="G53" s="13"/>
      <c r="H53" s="75"/>
      <c r="AH53" s="120"/>
      <c r="AI53" s="120"/>
      <c r="AJ53" s="120"/>
      <c r="AK53" s="120"/>
    </row>
    <row r="54" spans="1:107" customFormat="1" ht="15" customHeight="1" x14ac:dyDescent="0.25">
      <c r="A54" s="93" t="s">
        <v>34</v>
      </c>
      <c r="B54" s="7"/>
      <c r="C54" s="35"/>
      <c r="D54" s="13"/>
      <c r="E54" s="69"/>
      <c r="F54" s="69"/>
      <c r="G54" s="13"/>
      <c r="H54" s="75"/>
      <c r="I54" s="7"/>
      <c r="J54" s="21"/>
      <c r="K54" s="21"/>
      <c r="L54" s="21"/>
      <c r="M54" s="21"/>
      <c r="N54" s="7"/>
      <c r="O54" s="7"/>
      <c r="P54" s="7"/>
      <c r="Q54" s="7"/>
      <c r="R54" s="7"/>
      <c r="S54" s="42"/>
      <c r="T54" s="7"/>
      <c r="U54" s="7"/>
      <c r="V54" s="55"/>
      <c r="W54" s="7"/>
      <c r="X54" s="8"/>
      <c r="Y54" s="8"/>
      <c r="Z54" s="8"/>
      <c r="AA54" s="35"/>
      <c r="AB54" s="35"/>
      <c r="AC54" s="34"/>
      <c r="AD54" s="34"/>
      <c r="AF54" s="38"/>
      <c r="AG54" s="87"/>
      <c r="AH54" s="120"/>
      <c r="AI54" s="120"/>
      <c r="AJ54" s="120"/>
      <c r="AK54" s="120"/>
    </row>
    <row r="55" spans="1:107" customFormat="1" ht="15" x14ac:dyDescent="0.25">
      <c r="A55" s="8">
        <v>25160</v>
      </c>
      <c r="B55" s="7" t="s">
        <v>213</v>
      </c>
      <c r="C55" s="7" t="s">
        <v>214</v>
      </c>
      <c r="D55" s="7" t="s">
        <v>193</v>
      </c>
      <c r="E55" s="13"/>
      <c r="F55" s="7">
        <v>76201</v>
      </c>
      <c r="G55" s="7" t="s">
        <v>193</v>
      </c>
      <c r="H55" s="7">
        <v>3</v>
      </c>
      <c r="I55" s="7" t="s">
        <v>78</v>
      </c>
      <c r="J55" s="21" t="s">
        <v>480</v>
      </c>
      <c r="K55" s="21" t="s">
        <v>480</v>
      </c>
      <c r="L55" s="21" t="s">
        <v>397</v>
      </c>
      <c r="M55" s="21" t="s">
        <v>480</v>
      </c>
      <c r="N55" s="7" t="s">
        <v>118</v>
      </c>
      <c r="O55" s="7">
        <v>84</v>
      </c>
      <c r="P55" s="7">
        <v>0</v>
      </c>
      <c r="Q55" s="7">
        <v>84</v>
      </c>
      <c r="R55" s="7" t="s">
        <v>427</v>
      </c>
      <c r="S55" s="42">
        <v>2000000</v>
      </c>
      <c r="T55" s="42" t="s">
        <v>215</v>
      </c>
      <c r="U55" s="42" t="s">
        <v>212</v>
      </c>
      <c r="V55" s="55">
        <v>48121021000</v>
      </c>
      <c r="W55" s="55">
        <v>135</v>
      </c>
      <c r="X55" s="37">
        <v>17</v>
      </c>
      <c r="Y55" s="37">
        <v>4</v>
      </c>
      <c r="Z55" s="37">
        <v>8</v>
      </c>
      <c r="AA55" s="37">
        <v>4</v>
      </c>
      <c r="AB55" s="37">
        <v>7</v>
      </c>
      <c r="AC55" s="37">
        <v>1</v>
      </c>
      <c r="AD55" s="37">
        <v>176</v>
      </c>
      <c r="AE55" s="7"/>
      <c r="AF55" s="42">
        <v>7448.287466870016</v>
      </c>
      <c r="AG55" s="87" t="s">
        <v>489</v>
      </c>
      <c r="AH55" s="120" t="s">
        <v>515</v>
      </c>
      <c r="AI55" s="21" t="s">
        <v>516</v>
      </c>
      <c r="AJ55" s="21" t="s">
        <v>516</v>
      </c>
      <c r="AK55" s="21" t="s">
        <v>516</v>
      </c>
    </row>
    <row r="56" spans="1:107" customFormat="1" ht="15" x14ac:dyDescent="0.25">
      <c r="A56" s="8">
        <v>25164</v>
      </c>
      <c r="B56" s="7" t="s">
        <v>219</v>
      </c>
      <c r="C56" s="7" t="s">
        <v>220</v>
      </c>
      <c r="D56" s="7" t="s">
        <v>221</v>
      </c>
      <c r="E56" s="13"/>
      <c r="F56" s="7">
        <v>76031</v>
      </c>
      <c r="G56" s="7" t="s">
        <v>222</v>
      </c>
      <c r="H56" s="7">
        <v>3</v>
      </c>
      <c r="I56" s="7" t="s">
        <v>78</v>
      </c>
      <c r="J56" s="21" t="s">
        <v>480</v>
      </c>
      <c r="K56" s="21" t="s">
        <v>480</v>
      </c>
      <c r="L56" s="21" t="s">
        <v>480</v>
      </c>
      <c r="M56" s="21" t="s">
        <v>481</v>
      </c>
      <c r="N56" s="7" t="s">
        <v>484</v>
      </c>
      <c r="O56" s="7">
        <v>34</v>
      </c>
      <c r="P56" s="7">
        <v>0</v>
      </c>
      <c r="Q56" s="7">
        <v>34</v>
      </c>
      <c r="R56" s="7" t="s">
        <v>72</v>
      </c>
      <c r="S56" s="42">
        <v>1176446.58</v>
      </c>
      <c r="T56" s="42" t="s">
        <v>173</v>
      </c>
      <c r="U56" s="42" t="s">
        <v>100</v>
      </c>
      <c r="V56" s="55">
        <v>48251130800</v>
      </c>
      <c r="W56" s="55">
        <v>134</v>
      </c>
      <c r="X56" s="37">
        <v>17</v>
      </c>
      <c r="Y56" s="37">
        <v>4</v>
      </c>
      <c r="Z56" s="37">
        <v>8</v>
      </c>
      <c r="AA56" s="37">
        <v>4</v>
      </c>
      <c r="AB56" s="37">
        <v>7</v>
      </c>
      <c r="AC56" s="37">
        <v>1</v>
      </c>
      <c r="AD56" s="37">
        <v>175</v>
      </c>
      <c r="AE56" s="7"/>
      <c r="AF56" s="42">
        <v>10772.893134669479</v>
      </c>
      <c r="AG56" s="87" t="s">
        <v>493</v>
      </c>
      <c r="AH56" s="120" t="s">
        <v>515</v>
      </c>
      <c r="AI56" s="21" t="s">
        <v>516</v>
      </c>
      <c r="AJ56" s="21" t="s">
        <v>516</v>
      </c>
      <c r="AK56" s="21" t="s">
        <v>516</v>
      </c>
    </row>
    <row r="57" spans="1:107" customFormat="1" ht="15" x14ac:dyDescent="0.25">
      <c r="A57" s="8">
        <v>25162</v>
      </c>
      <c r="B57" s="7" t="s">
        <v>216</v>
      </c>
      <c r="C57" s="7" t="s">
        <v>217</v>
      </c>
      <c r="D57" s="7" t="s">
        <v>218</v>
      </c>
      <c r="E57" s="13"/>
      <c r="F57" s="7">
        <v>75062</v>
      </c>
      <c r="G57" s="7" t="s">
        <v>190</v>
      </c>
      <c r="H57" s="7">
        <v>3</v>
      </c>
      <c r="I57" s="7" t="s">
        <v>78</v>
      </c>
      <c r="J57" s="21" t="s">
        <v>480</v>
      </c>
      <c r="K57" s="21" t="s">
        <v>480</v>
      </c>
      <c r="L57" s="21" t="s">
        <v>480</v>
      </c>
      <c r="M57" s="21" t="s">
        <v>481</v>
      </c>
      <c r="N57" s="7" t="s">
        <v>415</v>
      </c>
      <c r="O57" s="7">
        <v>111</v>
      </c>
      <c r="P57" s="7">
        <v>0</v>
      </c>
      <c r="Q57" s="7">
        <v>111</v>
      </c>
      <c r="R57" s="7" t="s">
        <v>75</v>
      </c>
      <c r="S57" s="42">
        <v>2000000</v>
      </c>
      <c r="T57" s="42" t="s">
        <v>212</v>
      </c>
      <c r="U57" s="42" t="s">
        <v>100</v>
      </c>
      <c r="V57" s="55">
        <v>48113014315</v>
      </c>
      <c r="W57" s="55">
        <v>140</v>
      </c>
      <c r="X57" s="37">
        <v>17</v>
      </c>
      <c r="Y57" s="37">
        <v>4</v>
      </c>
      <c r="Z57" s="37">
        <v>8</v>
      </c>
      <c r="AA57" s="37">
        <v>4</v>
      </c>
      <c r="AB57" s="37">
        <v>0</v>
      </c>
      <c r="AC57" s="37">
        <v>1</v>
      </c>
      <c r="AD57" s="37">
        <v>174</v>
      </c>
      <c r="AE57" s="7"/>
      <c r="AF57" s="42">
        <v>4067.3901854858341</v>
      </c>
      <c r="AG57" s="87" t="s">
        <v>493</v>
      </c>
      <c r="AH57" s="120" t="s">
        <v>515</v>
      </c>
      <c r="AI57" s="21" t="s">
        <v>516</v>
      </c>
      <c r="AJ57" s="21" t="s">
        <v>516</v>
      </c>
      <c r="AK57" s="21" t="s">
        <v>516</v>
      </c>
    </row>
    <row r="58" spans="1:107" customFormat="1" ht="15" x14ac:dyDescent="0.25">
      <c r="A58" s="8">
        <v>25240</v>
      </c>
      <c r="B58" s="7" t="s">
        <v>230</v>
      </c>
      <c r="C58" s="7" t="s">
        <v>231</v>
      </c>
      <c r="D58" s="7" t="s">
        <v>190</v>
      </c>
      <c r="E58" s="13"/>
      <c r="F58" s="7">
        <v>75201</v>
      </c>
      <c r="G58" s="7" t="s">
        <v>190</v>
      </c>
      <c r="H58" s="7">
        <v>3</v>
      </c>
      <c r="I58" s="7" t="s">
        <v>78</v>
      </c>
      <c r="J58" s="21" t="s">
        <v>480</v>
      </c>
      <c r="K58" s="21" t="s">
        <v>480</v>
      </c>
      <c r="L58" s="21" t="s">
        <v>480</v>
      </c>
      <c r="M58" s="21" t="s">
        <v>481</v>
      </c>
      <c r="N58" s="7" t="s">
        <v>484</v>
      </c>
      <c r="O58" s="7">
        <v>53</v>
      </c>
      <c r="P58" s="7">
        <v>77</v>
      </c>
      <c r="Q58" s="7">
        <v>130</v>
      </c>
      <c r="R58" s="7" t="s">
        <v>75</v>
      </c>
      <c r="S58" s="42">
        <v>2000000</v>
      </c>
      <c r="T58" s="42" t="s">
        <v>432</v>
      </c>
      <c r="U58" s="42" t="s">
        <v>433</v>
      </c>
      <c r="V58" s="55">
        <v>48113003103</v>
      </c>
      <c r="W58" s="55">
        <v>140</v>
      </c>
      <c r="X58" s="37">
        <v>17</v>
      </c>
      <c r="Y58" s="37">
        <v>4</v>
      </c>
      <c r="Z58" s="37">
        <v>8</v>
      </c>
      <c r="AA58" s="37">
        <v>4</v>
      </c>
      <c r="AB58" s="37">
        <v>0</v>
      </c>
      <c r="AC58" s="37">
        <v>1</v>
      </c>
      <c r="AD58" s="37">
        <v>174</v>
      </c>
      <c r="AE58" s="7"/>
      <c r="AF58" s="42">
        <v>4286.2341872336183</v>
      </c>
      <c r="AG58" s="87" t="s">
        <v>493</v>
      </c>
      <c r="AH58" s="120" t="s">
        <v>522</v>
      </c>
      <c r="AI58" s="21" t="s">
        <v>516</v>
      </c>
      <c r="AJ58" s="21" t="s">
        <v>516</v>
      </c>
      <c r="AK58" s="128" t="s">
        <v>517</v>
      </c>
    </row>
    <row r="59" spans="1:107" customFormat="1" ht="15" x14ac:dyDescent="0.25">
      <c r="A59" s="8">
        <v>25239</v>
      </c>
      <c r="B59" s="7" t="s">
        <v>228</v>
      </c>
      <c r="C59" s="7" t="s">
        <v>229</v>
      </c>
      <c r="D59" s="7" t="s">
        <v>190</v>
      </c>
      <c r="E59" s="13"/>
      <c r="F59" s="7">
        <v>75231</v>
      </c>
      <c r="G59" s="7" t="s">
        <v>190</v>
      </c>
      <c r="H59" s="7">
        <v>3</v>
      </c>
      <c r="I59" s="7" t="s">
        <v>78</v>
      </c>
      <c r="J59" s="21" t="s">
        <v>480</v>
      </c>
      <c r="K59" s="21" t="s">
        <v>480</v>
      </c>
      <c r="L59" s="21" t="s">
        <v>480</v>
      </c>
      <c r="M59" s="21" t="s">
        <v>481</v>
      </c>
      <c r="N59" s="7" t="s">
        <v>484</v>
      </c>
      <c r="O59" s="7">
        <v>75</v>
      </c>
      <c r="P59" s="7">
        <v>0</v>
      </c>
      <c r="Q59" s="7">
        <v>75</v>
      </c>
      <c r="R59" s="7" t="s">
        <v>427</v>
      </c>
      <c r="S59" s="42">
        <v>2000000</v>
      </c>
      <c r="T59" s="42" t="s">
        <v>432</v>
      </c>
      <c r="U59" s="42" t="s">
        <v>433</v>
      </c>
      <c r="V59" s="55">
        <v>48113007822</v>
      </c>
      <c r="W59" s="55">
        <v>140</v>
      </c>
      <c r="X59" s="37">
        <v>17</v>
      </c>
      <c r="Y59" s="37">
        <v>4</v>
      </c>
      <c r="Z59" s="37">
        <v>8</v>
      </c>
      <c r="AA59" s="37">
        <v>4</v>
      </c>
      <c r="AB59" s="37">
        <v>0</v>
      </c>
      <c r="AC59" s="37">
        <v>1</v>
      </c>
      <c r="AD59" s="37">
        <v>174</v>
      </c>
      <c r="AE59" s="7"/>
      <c r="AF59" s="42">
        <v>8064.1397317005194</v>
      </c>
      <c r="AG59" s="87" t="s">
        <v>493</v>
      </c>
      <c r="AH59" s="120" t="s">
        <v>515</v>
      </c>
      <c r="AI59" s="21" t="s">
        <v>516</v>
      </c>
      <c r="AJ59" s="21" t="s">
        <v>516</v>
      </c>
      <c r="AK59" s="21" t="s">
        <v>516</v>
      </c>
    </row>
    <row r="60" spans="1:107" s="112" customFormat="1" ht="15" x14ac:dyDescent="0.25">
      <c r="A60" s="8">
        <v>25175</v>
      </c>
      <c r="B60" s="7" t="s">
        <v>223</v>
      </c>
      <c r="C60" s="7" t="s">
        <v>428</v>
      </c>
      <c r="D60" s="7" t="s">
        <v>190</v>
      </c>
      <c r="E60" s="13"/>
      <c r="F60" s="7">
        <v>75249</v>
      </c>
      <c r="G60" s="7" t="s">
        <v>190</v>
      </c>
      <c r="H60" s="7">
        <v>3</v>
      </c>
      <c r="I60" s="7" t="s">
        <v>78</v>
      </c>
      <c r="J60" s="21" t="s">
        <v>480</v>
      </c>
      <c r="K60" s="21" t="s">
        <v>480</v>
      </c>
      <c r="L60" s="21" t="s">
        <v>480</v>
      </c>
      <c r="M60" s="21" t="s">
        <v>480</v>
      </c>
      <c r="N60" s="7" t="s">
        <v>118</v>
      </c>
      <c r="O60" s="7">
        <v>81</v>
      </c>
      <c r="P60" s="7">
        <v>9</v>
      </c>
      <c r="Q60" s="7">
        <v>90</v>
      </c>
      <c r="R60" s="7" t="s">
        <v>75</v>
      </c>
      <c r="S60" s="42">
        <v>2000000</v>
      </c>
      <c r="T60" s="42" t="s">
        <v>224</v>
      </c>
      <c r="U60" s="42" t="s">
        <v>184</v>
      </c>
      <c r="V60" s="55">
        <v>48113016526</v>
      </c>
      <c r="W60" s="55">
        <v>132</v>
      </c>
      <c r="X60" s="37">
        <v>17</v>
      </c>
      <c r="Y60" s="37">
        <v>4</v>
      </c>
      <c r="Z60" s="37">
        <v>8</v>
      </c>
      <c r="AA60" s="37">
        <v>4</v>
      </c>
      <c r="AB60" s="37">
        <v>7</v>
      </c>
      <c r="AC60" s="37">
        <v>1</v>
      </c>
      <c r="AD60" s="37">
        <v>173</v>
      </c>
      <c r="AE60" s="7"/>
      <c r="AF60" s="42">
        <v>1272.0882976406692</v>
      </c>
      <c r="AG60" s="87" t="s">
        <v>493</v>
      </c>
      <c r="AH60" s="120" t="s">
        <v>515</v>
      </c>
      <c r="AI60" s="21" t="s">
        <v>516</v>
      </c>
      <c r="AJ60" s="21" t="s">
        <v>516</v>
      </c>
      <c r="AK60" s="21" t="s">
        <v>516</v>
      </c>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row>
    <row r="61" spans="1:107" customFormat="1" ht="15" x14ac:dyDescent="0.25">
      <c r="A61" s="8">
        <v>25131</v>
      </c>
      <c r="B61" s="7" t="s">
        <v>211</v>
      </c>
      <c r="C61" s="7" t="s">
        <v>426</v>
      </c>
      <c r="D61" s="7" t="s">
        <v>190</v>
      </c>
      <c r="E61" s="13"/>
      <c r="F61" s="7">
        <v>75249</v>
      </c>
      <c r="G61" s="7" t="s">
        <v>190</v>
      </c>
      <c r="H61" s="7">
        <v>3</v>
      </c>
      <c r="I61" s="7" t="s">
        <v>78</v>
      </c>
      <c r="J61" s="21" t="s">
        <v>480</v>
      </c>
      <c r="K61" s="21" t="s">
        <v>480</v>
      </c>
      <c r="L61" s="21" t="s">
        <v>480</v>
      </c>
      <c r="M61" s="21" t="s">
        <v>480</v>
      </c>
      <c r="N61" s="7" t="s">
        <v>118</v>
      </c>
      <c r="O61" s="7">
        <v>81</v>
      </c>
      <c r="P61" s="7">
        <v>9</v>
      </c>
      <c r="Q61" s="7">
        <v>90</v>
      </c>
      <c r="R61" s="7" t="s">
        <v>75</v>
      </c>
      <c r="S61" s="42">
        <v>2000000</v>
      </c>
      <c r="T61" s="42" t="s">
        <v>209</v>
      </c>
      <c r="U61" s="42" t="s">
        <v>210</v>
      </c>
      <c r="V61" s="55">
        <v>48113016528</v>
      </c>
      <c r="W61" s="55">
        <v>139</v>
      </c>
      <c r="X61" s="37">
        <v>17</v>
      </c>
      <c r="Y61" s="37">
        <v>4</v>
      </c>
      <c r="Z61" s="37">
        <v>8</v>
      </c>
      <c r="AA61" s="37">
        <v>4</v>
      </c>
      <c r="AB61" s="37">
        <v>0</v>
      </c>
      <c r="AC61" s="37">
        <v>1</v>
      </c>
      <c r="AD61" s="37">
        <v>173</v>
      </c>
      <c r="AE61" s="7"/>
      <c r="AF61" s="42">
        <v>2175.0947565745191</v>
      </c>
      <c r="AG61" s="87"/>
      <c r="AH61" s="120"/>
      <c r="AI61" s="120"/>
      <c r="AJ61" s="120"/>
      <c r="AK61" s="120"/>
    </row>
    <row r="62" spans="1:107" customFormat="1" ht="15" x14ac:dyDescent="0.25">
      <c r="A62" s="8">
        <v>25067</v>
      </c>
      <c r="B62" s="7" t="s">
        <v>418</v>
      </c>
      <c r="C62" s="7" t="s">
        <v>202</v>
      </c>
      <c r="D62" s="7" t="s">
        <v>203</v>
      </c>
      <c r="E62" s="13"/>
      <c r="F62" s="7">
        <v>76010</v>
      </c>
      <c r="G62" s="7" t="s">
        <v>77</v>
      </c>
      <c r="H62" s="7">
        <v>3</v>
      </c>
      <c r="I62" s="7" t="s">
        <v>78</v>
      </c>
      <c r="J62" s="21" t="s">
        <v>480</v>
      </c>
      <c r="K62" s="21" t="s">
        <v>480</v>
      </c>
      <c r="L62" s="21" t="s">
        <v>480</v>
      </c>
      <c r="M62" s="21" t="s">
        <v>480</v>
      </c>
      <c r="N62" s="7" t="s">
        <v>118</v>
      </c>
      <c r="O62" s="7">
        <v>82</v>
      </c>
      <c r="P62" s="7">
        <v>0</v>
      </c>
      <c r="Q62" s="7">
        <v>82</v>
      </c>
      <c r="R62" s="7" t="s">
        <v>75</v>
      </c>
      <c r="S62" s="42">
        <v>2000000</v>
      </c>
      <c r="T62" s="42" t="s">
        <v>251</v>
      </c>
      <c r="U62" s="42" t="s">
        <v>419</v>
      </c>
      <c r="V62" s="55">
        <v>48439121904</v>
      </c>
      <c r="W62" s="55">
        <v>132</v>
      </c>
      <c r="X62" s="37">
        <v>17</v>
      </c>
      <c r="Y62" s="37">
        <v>4</v>
      </c>
      <c r="Z62" s="37">
        <v>8</v>
      </c>
      <c r="AA62" s="37">
        <v>4</v>
      </c>
      <c r="AB62" s="37">
        <v>7</v>
      </c>
      <c r="AC62" s="37">
        <v>1</v>
      </c>
      <c r="AD62" s="37">
        <v>173</v>
      </c>
      <c r="AE62" s="7"/>
      <c r="AF62" s="42">
        <v>2606.0177661433227</v>
      </c>
      <c r="AG62" s="87" t="s">
        <v>489</v>
      </c>
      <c r="AH62" s="120" t="s">
        <v>515</v>
      </c>
      <c r="AI62" s="21" t="s">
        <v>516</v>
      </c>
      <c r="AJ62" s="21" t="s">
        <v>516</v>
      </c>
      <c r="AK62" s="21" t="s">
        <v>516</v>
      </c>
    </row>
    <row r="63" spans="1:107" customFormat="1" ht="15" x14ac:dyDescent="0.25">
      <c r="A63" s="8">
        <v>25004</v>
      </c>
      <c r="B63" s="7" t="s">
        <v>186</v>
      </c>
      <c r="C63" s="7" t="s">
        <v>187</v>
      </c>
      <c r="D63" s="7" t="s">
        <v>188</v>
      </c>
      <c r="E63" s="13"/>
      <c r="F63" s="7">
        <v>76112</v>
      </c>
      <c r="G63" s="7" t="s">
        <v>77</v>
      </c>
      <c r="H63" s="7">
        <v>3</v>
      </c>
      <c r="I63" s="7" t="s">
        <v>78</v>
      </c>
      <c r="J63" s="21" t="s">
        <v>480</v>
      </c>
      <c r="K63" s="21" t="s">
        <v>480</v>
      </c>
      <c r="L63" s="21" t="s">
        <v>397</v>
      </c>
      <c r="M63" s="21" t="s">
        <v>481</v>
      </c>
      <c r="N63" s="7" t="s">
        <v>118</v>
      </c>
      <c r="O63" s="7">
        <v>81</v>
      </c>
      <c r="P63" s="7">
        <v>0</v>
      </c>
      <c r="Q63" s="7">
        <v>81</v>
      </c>
      <c r="R63" s="7" t="s">
        <v>72</v>
      </c>
      <c r="S63" s="42">
        <v>2000000</v>
      </c>
      <c r="T63" s="42" t="s">
        <v>417</v>
      </c>
      <c r="U63" s="42" t="s">
        <v>189</v>
      </c>
      <c r="V63" s="55">
        <v>48439101301</v>
      </c>
      <c r="W63" s="55">
        <v>132</v>
      </c>
      <c r="X63" s="37">
        <v>17</v>
      </c>
      <c r="Y63" s="37">
        <v>4</v>
      </c>
      <c r="Z63" s="37">
        <v>8</v>
      </c>
      <c r="AA63" s="37">
        <v>4</v>
      </c>
      <c r="AB63" s="37">
        <v>7</v>
      </c>
      <c r="AC63" s="37">
        <v>1</v>
      </c>
      <c r="AD63" s="37">
        <v>173</v>
      </c>
      <c r="AE63" s="7"/>
      <c r="AF63" s="42">
        <v>3082.8345312837946</v>
      </c>
      <c r="AG63" s="87" t="s">
        <v>489</v>
      </c>
      <c r="AH63" s="120" t="s">
        <v>515</v>
      </c>
      <c r="AI63" s="21" t="s">
        <v>516</v>
      </c>
      <c r="AJ63" s="21" t="s">
        <v>516</v>
      </c>
      <c r="AK63" s="21" t="s">
        <v>516</v>
      </c>
    </row>
    <row r="64" spans="1:107" customFormat="1" ht="15" x14ac:dyDescent="0.25">
      <c r="A64" s="8">
        <v>25116</v>
      </c>
      <c r="B64" s="7" t="s">
        <v>424</v>
      </c>
      <c r="C64" s="7" t="s">
        <v>425</v>
      </c>
      <c r="D64" s="7" t="s">
        <v>207</v>
      </c>
      <c r="E64" s="13"/>
      <c r="F64" s="7">
        <v>75070</v>
      </c>
      <c r="G64" s="7" t="s">
        <v>208</v>
      </c>
      <c r="H64" s="7">
        <v>3</v>
      </c>
      <c r="I64" s="7" t="s">
        <v>78</v>
      </c>
      <c r="J64" s="21" t="s">
        <v>480</v>
      </c>
      <c r="K64" s="21" t="s">
        <v>480</v>
      </c>
      <c r="L64" s="21" t="s">
        <v>480</v>
      </c>
      <c r="M64" s="21" t="s">
        <v>480</v>
      </c>
      <c r="N64" s="7" t="s">
        <v>118</v>
      </c>
      <c r="O64" s="7">
        <v>81</v>
      </c>
      <c r="P64" s="7">
        <v>28</v>
      </c>
      <c r="Q64" s="7">
        <v>109</v>
      </c>
      <c r="R64" s="7" t="s">
        <v>72</v>
      </c>
      <c r="S64" s="42">
        <v>2000000</v>
      </c>
      <c r="T64" s="42" t="s">
        <v>422</v>
      </c>
      <c r="U64" s="42" t="s">
        <v>423</v>
      </c>
      <c r="V64" s="55">
        <v>48085030541</v>
      </c>
      <c r="W64" s="55">
        <v>139</v>
      </c>
      <c r="X64" s="37">
        <v>17</v>
      </c>
      <c r="Y64" s="37">
        <v>4</v>
      </c>
      <c r="Z64" s="37">
        <v>8</v>
      </c>
      <c r="AA64" s="37">
        <v>4</v>
      </c>
      <c r="AB64" s="37">
        <v>0</v>
      </c>
      <c r="AC64" s="37">
        <v>1</v>
      </c>
      <c r="AD64" s="37">
        <v>173</v>
      </c>
      <c r="AE64" s="7"/>
      <c r="AF64" s="42">
        <v>3704.7140351040243</v>
      </c>
      <c r="AG64" s="87" t="s">
        <v>493</v>
      </c>
      <c r="AH64" s="120" t="s">
        <v>515</v>
      </c>
      <c r="AI64" s="21" t="s">
        <v>516</v>
      </c>
      <c r="AJ64" s="21" t="s">
        <v>516</v>
      </c>
      <c r="AK64" s="21" t="s">
        <v>516</v>
      </c>
    </row>
    <row r="65" spans="1:107" customFormat="1" ht="15" x14ac:dyDescent="0.25">
      <c r="A65" s="8">
        <v>25115</v>
      </c>
      <c r="B65" s="7" t="s">
        <v>420</v>
      </c>
      <c r="C65" s="7" t="s">
        <v>421</v>
      </c>
      <c r="D65" s="7" t="s">
        <v>193</v>
      </c>
      <c r="E65" s="13"/>
      <c r="F65" s="7">
        <v>76207</v>
      </c>
      <c r="G65" s="7" t="s">
        <v>193</v>
      </c>
      <c r="H65" s="7">
        <v>3</v>
      </c>
      <c r="I65" s="7" t="s">
        <v>78</v>
      </c>
      <c r="J65" s="21" t="s">
        <v>480</v>
      </c>
      <c r="K65" s="21" t="s">
        <v>480</v>
      </c>
      <c r="L65" s="21" t="s">
        <v>480</v>
      </c>
      <c r="M65" s="21" t="s">
        <v>480</v>
      </c>
      <c r="N65" s="7" t="s">
        <v>118</v>
      </c>
      <c r="O65" s="7">
        <v>81</v>
      </c>
      <c r="P65" s="7">
        <v>39</v>
      </c>
      <c r="Q65" s="7">
        <v>120</v>
      </c>
      <c r="R65" s="7" t="s">
        <v>75</v>
      </c>
      <c r="S65" s="42">
        <v>2000000</v>
      </c>
      <c r="T65" s="42" t="s">
        <v>422</v>
      </c>
      <c r="U65" s="42" t="s">
        <v>423</v>
      </c>
      <c r="V65" s="55">
        <v>48121020404</v>
      </c>
      <c r="W65" s="55">
        <v>139</v>
      </c>
      <c r="X65" s="37">
        <v>17</v>
      </c>
      <c r="Y65" s="37">
        <v>4</v>
      </c>
      <c r="Z65" s="37">
        <v>8</v>
      </c>
      <c r="AA65" s="37">
        <v>4</v>
      </c>
      <c r="AB65" s="37">
        <v>0</v>
      </c>
      <c r="AC65" s="37">
        <v>1</v>
      </c>
      <c r="AD65" s="37">
        <v>173</v>
      </c>
      <c r="AE65" s="7"/>
      <c r="AF65" s="42">
        <v>3839.3413385017038</v>
      </c>
      <c r="AG65" s="87"/>
      <c r="AH65" s="120"/>
      <c r="AI65" s="120"/>
      <c r="AJ65" s="120"/>
      <c r="AK65" s="120"/>
    </row>
    <row r="66" spans="1:107" customFormat="1" ht="15" x14ac:dyDescent="0.25">
      <c r="A66" s="8">
        <v>25034</v>
      </c>
      <c r="B66" s="7" t="s">
        <v>196</v>
      </c>
      <c r="C66" s="7" t="s">
        <v>197</v>
      </c>
      <c r="D66" s="7" t="s">
        <v>190</v>
      </c>
      <c r="E66" s="13"/>
      <c r="F66" s="7">
        <v>75251</v>
      </c>
      <c r="G66" s="7" t="s">
        <v>190</v>
      </c>
      <c r="H66" s="7">
        <v>3</v>
      </c>
      <c r="I66" s="7" t="s">
        <v>78</v>
      </c>
      <c r="J66" s="21" t="s">
        <v>480</v>
      </c>
      <c r="K66" s="21" t="s">
        <v>480</v>
      </c>
      <c r="L66" s="21" t="s">
        <v>397</v>
      </c>
      <c r="M66" s="21" t="s">
        <v>481</v>
      </c>
      <c r="N66" s="7" t="s">
        <v>118</v>
      </c>
      <c r="O66" s="7">
        <v>108</v>
      </c>
      <c r="P66" s="7">
        <v>0</v>
      </c>
      <c r="Q66" s="7">
        <v>108</v>
      </c>
      <c r="R66" s="7" t="s">
        <v>72</v>
      </c>
      <c r="S66" s="42">
        <v>2000000</v>
      </c>
      <c r="T66" s="42" t="s">
        <v>198</v>
      </c>
      <c r="U66" s="42" t="s">
        <v>199</v>
      </c>
      <c r="V66" s="55">
        <v>48113013202</v>
      </c>
      <c r="W66" s="55">
        <v>139</v>
      </c>
      <c r="X66" s="37">
        <v>17</v>
      </c>
      <c r="Y66" s="37">
        <v>4</v>
      </c>
      <c r="Z66" s="37">
        <v>8</v>
      </c>
      <c r="AA66" s="37">
        <v>4</v>
      </c>
      <c r="AB66" s="37">
        <v>0</v>
      </c>
      <c r="AC66" s="37">
        <v>1</v>
      </c>
      <c r="AD66" s="37">
        <v>173</v>
      </c>
      <c r="AE66" s="7"/>
      <c r="AF66" s="42">
        <v>4858.1440373263931</v>
      </c>
      <c r="AG66" s="87"/>
      <c r="AH66" s="120"/>
      <c r="AI66" s="120"/>
      <c r="AJ66" s="120"/>
      <c r="AK66" s="120"/>
    </row>
    <row r="67" spans="1:107" customFormat="1" ht="15" x14ac:dyDescent="0.25">
      <c r="A67" s="8">
        <v>25020</v>
      </c>
      <c r="B67" s="7" t="s">
        <v>191</v>
      </c>
      <c r="C67" s="7" t="s">
        <v>192</v>
      </c>
      <c r="D67" s="7" t="s">
        <v>190</v>
      </c>
      <c r="E67" s="13"/>
      <c r="F67" s="7">
        <v>75217</v>
      </c>
      <c r="G67" s="7" t="s">
        <v>190</v>
      </c>
      <c r="H67" s="7">
        <v>3</v>
      </c>
      <c r="I67" s="7" t="s">
        <v>78</v>
      </c>
      <c r="J67" s="21" t="s">
        <v>480</v>
      </c>
      <c r="K67" s="21" t="s">
        <v>480</v>
      </c>
      <c r="L67" s="21" t="s">
        <v>480</v>
      </c>
      <c r="M67" s="21" t="s">
        <v>481</v>
      </c>
      <c r="N67" s="7" t="s">
        <v>118</v>
      </c>
      <c r="O67" s="7">
        <v>81</v>
      </c>
      <c r="P67" s="7">
        <v>15</v>
      </c>
      <c r="Q67" s="7">
        <v>96</v>
      </c>
      <c r="R67" s="7" t="s">
        <v>75</v>
      </c>
      <c r="S67" s="42">
        <v>2000000</v>
      </c>
      <c r="T67" s="42" t="s">
        <v>178</v>
      </c>
      <c r="U67" s="42" t="s">
        <v>179</v>
      </c>
      <c r="V67" s="55">
        <v>48113011802</v>
      </c>
      <c r="W67" s="55">
        <v>132</v>
      </c>
      <c r="X67" s="37">
        <v>17</v>
      </c>
      <c r="Y67" s="37">
        <v>4</v>
      </c>
      <c r="Z67" s="37">
        <v>8</v>
      </c>
      <c r="AA67" s="37">
        <v>4</v>
      </c>
      <c r="AB67" s="37">
        <v>7</v>
      </c>
      <c r="AC67" s="37">
        <v>1</v>
      </c>
      <c r="AD67" s="37">
        <v>173</v>
      </c>
      <c r="AE67" s="7"/>
      <c r="AF67" s="42">
        <v>6475.8399994513948</v>
      </c>
      <c r="AG67" s="87"/>
      <c r="AH67" s="120"/>
      <c r="AI67" s="120"/>
      <c r="AJ67" s="120"/>
      <c r="AK67" s="120"/>
    </row>
    <row r="68" spans="1:107" customFormat="1" ht="15" x14ac:dyDescent="0.25">
      <c r="A68" s="8">
        <v>25109</v>
      </c>
      <c r="B68" s="7" t="s">
        <v>205</v>
      </c>
      <c r="C68" s="7" t="s">
        <v>206</v>
      </c>
      <c r="D68" s="7" t="s">
        <v>188</v>
      </c>
      <c r="E68" s="13"/>
      <c r="F68" s="7">
        <v>76134</v>
      </c>
      <c r="G68" s="7" t="s">
        <v>77</v>
      </c>
      <c r="H68" s="7">
        <v>3</v>
      </c>
      <c r="I68" s="7" t="s">
        <v>78</v>
      </c>
      <c r="J68" s="21" t="s">
        <v>480</v>
      </c>
      <c r="K68" s="21" t="s">
        <v>480</v>
      </c>
      <c r="L68" s="21" t="s">
        <v>480</v>
      </c>
      <c r="M68" s="21" t="s">
        <v>480</v>
      </c>
      <c r="N68" s="7" t="s">
        <v>118</v>
      </c>
      <c r="O68" s="7">
        <v>84</v>
      </c>
      <c r="P68" s="7">
        <v>0</v>
      </c>
      <c r="Q68" s="7">
        <v>84</v>
      </c>
      <c r="R68" s="7" t="s">
        <v>75</v>
      </c>
      <c r="S68" s="42">
        <v>2000000</v>
      </c>
      <c r="T68" s="42" t="s">
        <v>185</v>
      </c>
      <c r="U68" s="42" t="s">
        <v>204</v>
      </c>
      <c r="V68" s="55">
        <v>48439106006</v>
      </c>
      <c r="W68" s="55">
        <v>132</v>
      </c>
      <c r="X68" s="37">
        <v>17</v>
      </c>
      <c r="Y68" s="37">
        <v>4</v>
      </c>
      <c r="Z68" s="37">
        <v>-8</v>
      </c>
      <c r="AA68" s="37">
        <v>4</v>
      </c>
      <c r="AB68" s="37">
        <v>7</v>
      </c>
      <c r="AC68" s="37">
        <v>1</v>
      </c>
      <c r="AD68" s="37">
        <v>157</v>
      </c>
      <c r="AE68" s="7"/>
      <c r="AF68" s="42">
        <v>3471.2565762679678</v>
      </c>
      <c r="AG68" s="87"/>
      <c r="AH68" s="120"/>
      <c r="AI68" s="120"/>
      <c r="AJ68" s="120"/>
      <c r="AK68" s="120"/>
    </row>
    <row r="69" spans="1:107" s="112" customFormat="1" ht="15" x14ac:dyDescent="0.25">
      <c r="A69" s="105">
        <v>25211</v>
      </c>
      <c r="B69" s="106" t="s">
        <v>225</v>
      </c>
      <c r="C69" s="106" t="s">
        <v>429</v>
      </c>
      <c r="D69" s="106" t="s">
        <v>226</v>
      </c>
      <c r="E69" s="106"/>
      <c r="F69" s="106">
        <v>76053</v>
      </c>
      <c r="G69" s="106" t="s">
        <v>77</v>
      </c>
      <c r="H69" s="106">
        <v>3</v>
      </c>
      <c r="I69" s="106" t="s">
        <v>78</v>
      </c>
      <c r="J69" s="107" t="s">
        <v>480</v>
      </c>
      <c r="K69" s="107" t="s">
        <v>480</v>
      </c>
      <c r="L69" s="107" t="s">
        <v>480</v>
      </c>
      <c r="M69" s="107" t="s">
        <v>481</v>
      </c>
      <c r="N69" s="106" t="s">
        <v>118</v>
      </c>
      <c r="O69" s="106">
        <v>84</v>
      </c>
      <c r="P69" s="106">
        <v>0</v>
      </c>
      <c r="Q69" s="106">
        <v>84</v>
      </c>
      <c r="R69" s="106" t="s">
        <v>72</v>
      </c>
      <c r="S69" s="108">
        <v>2000000</v>
      </c>
      <c r="T69" s="108" t="s">
        <v>430</v>
      </c>
      <c r="U69" s="108" t="s">
        <v>431</v>
      </c>
      <c r="V69" s="109">
        <v>48439113403</v>
      </c>
      <c r="W69" s="109">
        <v>139</v>
      </c>
      <c r="X69" s="110">
        <v>17</v>
      </c>
      <c r="Y69" s="110">
        <v>4</v>
      </c>
      <c r="Z69" s="110">
        <v>8</v>
      </c>
      <c r="AA69" s="110">
        <v>4</v>
      </c>
      <c r="AB69" s="110">
        <v>0</v>
      </c>
      <c r="AC69" s="110">
        <v>1</v>
      </c>
      <c r="AD69" s="110">
        <v>173</v>
      </c>
      <c r="AE69" s="106"/>
      <c r="AF69" s="108">
        <v>646.60903696078663</v>
      </c>
      <c r="AG69" s="113" t="s">
        <v>508</v>
      </c>
      <c r="AH69" s="124"/>
      <c r="AI69" s="124"/>
      <c r="AJ69" s="124"/>
      <c r="AK69" s="124"/>
    </row>
    <row r="70" spans="1:107" s="112" customFormat="1" ht="15" x14ac:dyDescent="0.25">
      <c r="A70" s="105">
        <v>25047</v>
      </c>
      <c r="B70" s="106" t="s">
        <v>200</v>
      </c>
      <c r="C70" s="106" t="s">
        <v>201</v>
      </c>
      <c r="D70" s="106" t="s">
        <v>190</v>
      </c>
      <c r="E70" s="106"/>
      <c r="F70" s="106">
        <v>75210</v>
      </c>
      <c r="G70" s="106" t="s">
        <v>190</v>
      </c>
      <c r="H70" s="106">
        <v>3</v>
      </c>
      <c r="I70" s="106" t="s">
        <v>78</v>
      </c>
      <c r="J70" s="107" t="s">
        <v>480</v>
      </c>
      <c r="K70" s="107" t="s">
        <v>480</v>
      </c>
      <c r="L70" s="107" t="s">
        <v>480</v>
      </c>
      <c r="M70" s="107" t="s">
        <v>482</v>
      </c>
      <c r="N70" s="106" t="s">
        <v>118</v>
      </c>
      <c r="O70" s="106">
        <v>60</v>
      </c>
      <c r="P70" s="106">
        <v>0</v>
      </c>
      <c r="Q70" s="106">
        <v>60</v>
      </c>
      <c r="R70" s="106" t="s">
        <v>75</v>
      </c>
      <c r="S70" s="108">
        <v>2000000</v>
      </c>
      <c r="T70" s="108" t="s">
        <v>152</v>
      </c>
      <c r="U70" s="108" t="s">
        <v>153</v>
      </c>
      <c r="V70" s="109">
        <v>48113020300</v>
      </c>
      <c r="W70" s="109">
        <v>101</v>
      </c>
      <c r="X70" s="110">
        <v>0</v>
      </c>
      <c r="Y70" s="110">
        <v>4</v>
      </c>
      <c r="Z70" s="110">
        <v>0</v>
      </c>
      <c r="AA70" s="110">
        <v>4</v>
      </c>
      <c r="AB70" s="110">
        <v>5</v>
      </c>
      <c r="AC70" s="110">
        <v>1</v>
      </c>
      <c r="AD70" s="110">
        <v>115</v>
      </c>
      <c r="AE70" s="106"/>
      <c r="AF70" s="108">
        <v>8785.9204324476887</v>
      </c>
      <c r="AG70" s="113" t="s">
        <v>486</v>
      </c>
      <c r="AH70" s="124"/>
      <c r="AI70" s="124"/>
      <c r="AJ70" s="124"/>
      <c r="AK70" s="124"/>
    </row>
    <row r="71" spans="1:107" s="8" customFormat="1" ht="15" customHeight="1" x14ac:dyDescent="0.25">
      <c r="A71" s="94" t="s">
        <v>24</v>
      </c>
      <c r="B71" s="31"/>
      <c r="C71" s="65">
        <v>18049553.118439272</v>
      </c>
      <c r="D71" s="77"/>
      <c r="E71" s="72"/>
      <c r="F71" s="69"/>
      <c r="G71" s="78"/>
      <c r="H71" s="72"/>
      <c r="I71" s="32"/>
      <c r="J71" s="22"/>
      <c r="K71" s="22"/>
      <c r="L71" s="22"/>
      <c r="M71" s="22"/>
      <c r="N71" s="18"/>
      <c r="O71" s="18"/>
      <c r="P71" s="18"/>
      <c r="Q71" s="18"/>
      <c r="R71" s="33" t="s">
        <v>20</v>
      </c>
      <c r="S71" s="43">
        <f>SUM(S55:S70)</f>
        <v>31176446.579999998</v>
      </c>
      <c r="T71" s="18"/>
      <c r="U71" s="18"/>
      <c r="V71" s="62"/>
      <c r="W71" s="18"/>
      <c r="X71" s="18"/>
      <c r="Y71" s="18"/>
      <c r="AA71" s="35"/>
      <c r="AB71" s="35"/>
      <c r="AC71" s="34"/>
      <c r="AD71" s="34"/>
      <c r="AE71" s="34"/>
      <c r="AF71" s="83"/>
      <c r="AG71" s="87"/>
      <c r="AH71" s="120"/>
      <c r="AI71" s="120"/>
      <c r="AJ71" s="120"/>
      <c r="AK71" s="120"/>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row>
    <row r="72" spans="1:107" s="8" customFormat="1" ht="15" customHeight="1" x14ac:dyDescent="0.25">
      <c r="A72" s="94"/>
      <c r="B72" s="95" t="s">
        <v>487</v>
      </c>
      <c r="C72" s="65">
        <f>C71*0.4389</f>
        <v>7921948.8636829965</v>
      </c>
      <c r="D72" s="77"/>
      <c r="E72" s="72"/>
      <c r="F72" s="69"/>
      <c r="G72" s="78"/>
      <c r="H72" s="72"/>
      <c r="I72" s="32"/>
      <c r="J72" s="22"/>
      <c r="K72" s="22"/>
      <c r="L72" s="22"/>
      <c r="M72" s="22"/>
      <c r="N72" s="18"/>
      <c r="O72" s="18"/>
      <c r="P72" s="18"/>
      <c r="Q72" s="18"/>
      <c r="R72" s="33"/>
      <c r="S72" s="43"/>
      <c r="T72" s="18"/>
      <c r="U72" s="18"/>
      <c r="V72" s="62"/>
      <c r="W72" s="18"/>
      <c r="X72" s="18"/>
      <c r="Y72" s="18"/>
      <c r="AA72" s="35"/>
      <c r="AB72" s="35"/>
      <c r="AC72" s="34"/>
      <c r="AD72" s="34"/>
      <c r="AE72" s="34"/>
      <c r="AF72" s="83"/>
      <c r="AG72" s="87"/>
      <c r="AH72" s="120"/>
      <c r="AI72" s="120"/>
      <c r="AJ72" s="120"/>
      <c r="AK72" s="120"/>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row>
    <row r="73" spans="1:107" ht="15" customHeight="1" collapsed="1" x14ac:dyDescent="0.25">
      <c r="C73" s="35"/>
      <c r="D73" s="13"/>
      <c r="E73" s="69"/>
      <c r="F73" s="69"/>
      <c r="G73" s="13"/>
      <c r="H73" s="69"/>
      <c r="AH73" s="120"/>
      <c r="AI73" s="120"/>
      <c r="AJ73" s="120"/>
      <c r="AK73" s="120"/>
    </row>
    <row r="74" spans="1:107" customFormat="1" ht="15" customHeight="1" x14ac:dyDescent="0.25">
      <c r="A74" s="92" t="s">
        <v>35</v>
      </c>
      <c r="B74" s="7"/>
      <c r="C74" s="35"/>
      <c r="D74" s="13"/>
      <c r="E74" s="69"/>
      <c r="F74" s="69"/>
      <c r="G74" s="13"/>
      <c r="H74" s="69"/>
      <c r="I74" s="7"/>
      <c r="J74" s="21"/>
      <c r="K74" s="21"/>
      <c r="L74" s="21"/>
      <c r="M74" s="21"/>
      <c r="N74" s="7"/>
      <c r="O74" s="7"/>
      <c r="P74" s="7"/>
      <c r="Q74" s="7"/>
      <c r="R74" s="7"/>
      <c r="S74" s="42"/>
      <c r="T74" s="7"/>
      <c r="U74" s="7"/>
      <c r="V74" s="55"/>
      <c r="W74" s="7"/>
      <c r="X74" s="8"/>
      <c r="Y74" s="8"/>
      <c r="Z74" s="8"/>
      <c r="AA74" s="35"/>
      <c r="AB74" s="35"/>
      <c r="AC74" s="34"/>
      <c r="AD74" s="34"/>
      <c r="AF74" s="38"/>
      <c r="AG74" s="87"/>
      <c r="AH74" s="120"/>
      <c r="AI74" s="120"/>
      <c r="AJ74" s="120"/>
      <c r="AK74" s="120"/>
    </row>
    <row r="75" spans="1:107" customFormat="1" ht="15" x14ac:dyDescent="0.25">
      <c r="A75" s="8">
        <v>25022</v>
      </c>
      <c r="B75" s="7" t="s">
        <v>434</v>
      </c>
      <c r="C75" s="7" t="s">
        <v>232</v>
      </c>
      <c r="D75" s="7" t="s">
        <v>233</v>
      </c>
      <c r="E75" s="13"/>
      <c r="F75" s="7">
        <v>75662</v>
      </c>
      <c r="G75" s="7" t="s">
        <v>234</v>
      </c>
      <c r="H75" s="7">
        <v>4</v>
      </c>
      <c r="I75" s="7" t="s">
        <v>71</v>
      </c>
      <c r="J75" s="21" t="s">
        <v>480</v>
      </c>
      <c r="K75" s="21" t="s">
        <v>480</v>
      </c>
      <c r="L75" s="21" t="s">
        <v>480</v>
      </c>
      <c r="M75" s="21" t="s">
        <v>481</v>
      </c>
      <c r="N75" s="7" t="s">
        <v>118</v>
      </c>
      <c r="O75" s="7">
        <v>59</v>
      </c>
      <c r="P75" s="7">
        <v>0</v>
      </c>
      <c r="Q75" s="7">
        <v>59</v>
      </c>
      <c r="R75" s="7" t="s">
        <v>72</v>
      </c>
      <c r="S75" s="42">
        <v>1436803.4533139998</v>
      </c>
      <c r="T75" s="42" t="s">
        <v>178</v>
      </c>
      <c r="U75" s="42" t="s">
        <v>179</v>
      </c>
      <c r="V75" s="55">
        <v>48183010600</v>
      </c>
      <c r="W75" s="55">
        <v>139</v>
      </c>
      <c r="X75" s="37">
        <v>17</v>
      </c>
      <c r="Y75" s="37">
        <v>4</v>
      </c>
      <c r="Z75" s="37">
        <v>8</v>
      </c>
      <c r="AA75" s="37">
        <v>4</v>
      </c>
      <c r="AB75" s="37">
        <v>0</v>
      </c>
      <c r="AC75" s="37">
        <v>1</v>
      </c>
      <c r="AD75" s="37">
        <v>173</v>
      </c>
      <c r="AE75" s="7"/>
      <c r="AF75" s="42">
        <v>3621.8640879567502</v>
      </c>
      <c r="AG75" s="104" t="s">
        <v>506</v>
      </c>
      <c r="AH75" s="121" t="s">
        <v>515</v>
      </c>
      <c r="AI75" s="21" t="s">
        <v>516</v>
      </c>
      <c r="AJ75" s="21" t="s">
        <v>516</v>
      </c>
      <c r="AK75" s="21" t="s">
        <v>516</v>
      </c>
    </row>
    <row r="76" spans="1:107" customFormat="1" ht="15" x14ac:dyDescent="0.25">
      <c r="A76" s="8">
        <v>25261</v>
      </c>
      <c r="B76" s="7" t="s">
        <v>237</v>
      </c>
      <c r="C76" s="7" t="s">
        <v>238</v>
      </c>
      <c r="D76" s="7" t="s">
        <v>239</v>
      </c>
      <c r="E76" s="13"/>
      <c r="F76" s="7">
        <v>75455</v>
      </c>
      <c r="G76" s="7" t="s">
        <v>240</v>
      </c>
      <c r="H76" s="7">
        <v>4</v>
      </c>
      <c r="I76" s="7" t="s">
        <v>71</v>
      </c>
      <c r="J76" s="21" t="s">
        <v>480</v>
      </c>
      <c r="K76" s="21" t="s">
        <v>480</v>
      </c>
      <c r="L76" s="21" t="s">
        <v>480</v>
      </c>
      <c r="M76" s="21" t="s">
        <v>481</v>
      </c>
      <c r="N76" s="7" t="s">
        <v>118</v>
      </c>
      <c r="O76" s="7">
        <v>52</v>
      </c>
      <c r="P76" s="7">
        <v>0</v>
      </c>
      <c r="Q76" s="7">
        <v>52</v>
      </c>
      <c r="R76" s="7" t="s">
        <v>72</v>
      </c>
      <c r="S76" s="42">
        <v>1164000</v>
      </c>
      <c r="T76" s="42" t="s">
        <v>236</v>
      </c>
      <c r="U76" s="42" t="s">
        <v>100</v>
      </c>
      <c r="V76" s="55">
        <v>48449950800</v>
      </c>
      <c r="W76" s="55">
        <v>139</v>
      </c>
      <c r="X76" s="37">
        <v>17</v>
      </c>
      <c r="Y76" s="37">
        <v>4</v>
      </c>
      <c r="Z76" s="37">
        <v>8</v>
      </c>
      <c r="AA76" s="37">
        <v>4</v>
      </c>
      <c r="AB76" s="37">
        <v>0</v>
      </c>
      <c r="AC76" s="37">
        <v>1</v>
      </c>
      <c r="AD76" s="37">
        <v>173</v>
      </c>
      <c r="AE76" s="7"/>
      <c r="AF76" s="42">
        <v>6324.574105385751</v>
      </c>
      <c r="AG76" s="87"/>
      <c r="AH76" s="120"/>
      <c r="AI76" s="120"/>
      <c r="AJ76" s="120"/>
      <c r="AK76" s="120"/>
    </row>
    <row r="77" spans="1:107" ht="15" customHeight="1" x14ac:dyDescent="0.25">
      <c r="A77" s="91" t="s">
        <v>24</v>
      </c>
      <c r="B77" s="15"/>
      <c r="C77" s="63">
        <v>1776687.6137090959</v>
      </c>
      <c r="D77" s="70"/>
      <c r="E77" s="72"/>
      <c r="F77" s="69"/>
      <c r="G77" s="70"/>
      <c r="H77" s="72"/>
      <c r="I77" s="24"/>
      <c r="J77" s="22"/>
      <c r="K77" s="22"/>
      <c r="L77" s="22"/>
      <c r="M77" s="22"/>
      <c r="N77" s="16"/>
      <c r="O77" s="16"/>
      <c r="P77" s="16"/>
      <c r="Q77" s="16"/>
      <c r="R77" s="17" t="s">
        <v>20</v>
      </c>
      <c r="S77" s="41">
        <f>SUM(S75:S76)</f>
        <v>2600803.4533139998</v>
      </c>
      <c r="T77" s="18"/>
      <c r="U77" s="16"/>
      <c r="V77" s="60"/>
      <c r="W77" s="16"/>
      <c r="X77" s="18"/>
      <c r="Y77" s="18"/>
      <c r="AC77" s="34"/>
      <c r="AD77" s="34"/>
      <c r="AE77"/>
      <c r="AF77" s="38"/>
      <c r="AG77" s="87"/>
      <c r="AH77" s="120"/>
      <c r="AI77" s="120"/>
      <c r="AJ77" s="120"/>
      <c r="AK77" s="120"/>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row>
    <row r="78" spans="1:107" ht="15" customHeight="1" collapsed="1" x14ac:dyDescent="0.25">
      <c r="C78" s="35"/>
      <c r="D78" s="13"/>
      <c r="E78" s="69"/>
      <c r="F78" s="69"/>
      <c r="G78" s="13"/>
      <c r="H78" s="69"/>
      <c r="AH78" s="120"/>
      <c r="AI78" s="120"/>
      <c r="AJ78" s="120"/>
      <c r="AK78" s="120"/>
    </row>
    <row r="79" spans="1:107" customFormat="1" ht="15" customHeight="1" x14ac:dyDescent="0.25">
      <c r="A79" s="92" t="s">
        <v>36</v>
      </c>
      <c r="B79" s="7"/>
      <c r="C79" s="35"/>
      <c r="D79" s="13"/>
      <c r="E79" s="69"/>
      <c r="F79" s="69"/>
      <c r="G79" s="13"/>
      <c r="H79" s="69"/>
      <c r="I79" s="7"/>
      <c r="J79" s="21"/>
      <c r="K79" s="21"/>
      <c r="L79" s="21"/>
      <c r="M79" s="21"/>
      <c r="N79" s="7"/>
      <c r="O79" s="7"/>
      <c r="P79" s="7"/>
      <c r="Q79" s="7"/>
      <c r="R79" s="7"/>
      <c r="S79" s="42"/>
      <c r="T79" s="7"/>
      <c r="U79" s="7"/>
      <c r="V79" s="55"/>
      <c r="W79" s="7"/>
      <c r="X79" s="8"/>
      <c r="Y79" s="8"/>
      <c r="Z79" s="8"/>
      <c r="AA79" s="35"/>
      <c r="AB79" s="35"/>
      <c r="AC79" s="34"/>
      <c r="AD79" s="34"/>
      <c r="AF79" s="38"/>
      <c r="AG79" s="87"/>
      <c r="AH79" s="120"/>
      <c r="AI79" s="120"/>
      <c r="AJ79" s="120"/>
      <c r="AK79" s="120"/>
    </row>
    <row r="80" spans="1:107" customFormat="1" ht="15" x14ac:dyDescent="0.25">
      <c r="A80" s="8">
        <v>25167</v>
      </c>
      <c r="B80" s="7" t="s">
        <v>242</v>
      </c>
      <c r="C80" s="7" t="s">
        <v>243</v>
      </c>
      <c r="D80" s="7" t="s">
        <v>244</v>
      </c>
      <c r="E80" s="13"/>
      <c r="F80" s="7">
        <v>75501</v>
      </c>
      <c r="G80" s="7" t="s">
        <v>245</v>
      </c>
      <c r="H80" s="7">
        <v>4</v>
      </c>
      <c r="I80" s="7" t="s">
        <v>78</v>
      </c>
      <c r="J80" s="21" t="s">
        <v>480</v>
      </c>
      <c r="K80" s="21" t="s">
        <v>480</v>
      </c>
      <c r="L80" s="21" t="s">
        <v>480</v>
      </c>
      <c r="M80" s="21" t="s">
        <v>480</v>
      </c>
      <c r="N80" s="7" t="s">
        <v>484</v>
      </c>
      <c r="O80" s="7">
        <v>38</v>
      </c>
      <c r="P80" s="7">
        <v>2</v>
      </c>
      <c r="Q80" s="7">
        <v>40</v>
      </c>
      <c r="R80" s="7" t="s">
        <v>72</v>
      </c>
      <c r="S80" s="42">
        <v>1215000</v>
      </c>
      <c r="T80" s="42" t="s">
        <v>173</v>
      </c>
      <c r="U80" s="42" t="s">
        <v>100</v>
      </c>
      <c r="V80" s="55">
        <v>48037010500</v>
      </c>
      <c r="W80" s="55">
        <v>133</v>
      </c>
      <c r="X80" s="37">
        <v>17</v>
      </c>
      <c r="Y80" s="37">
        <v>4</v>
      </c>
      <c r="Z80" s="37">
        <v>8</v>
      </c>
      <c r="AA80" s="37">
        <v>4</v>
      </c>
      <c r="AB80" s="37">
        <v>7</v>
      </c>
      <c r="AC80" s="37">
        <v>1</v>
      </c>
      <c r="AD80" s="37">
        <v>174</v>
      </c>
      <c r="AE80" s="7"/>
      <c r="AF80" s="42">
        <v>8740.4457646701576</v>
      </c>
      <c r="AG80" s="87"/>
      <c r="AH80" s="120" t="s">
        <v>515</v>
      </c>
      <c r="AI80" s="21" t="s">
        <v>516</v>
      </c>
      <c r="AJ80" s="21" t="s">
        <v>516</v>
      </c>
      <c r="AK80" s="21" t="s">
        <v>516</v>
      </c>
    </row>
    <row r="81" spans="1:107" ht="15" customHeight="1" x14ac:dyDescent="0.25">
      <c r="A81" s="91" t="s">
        <v>24</v>
      </c>
      <c r="B81" s="15"/>
      <c r="C81" s="63">
        <v>1245514.9510784626</v>
      </c>
      <c r="D81" s="70"/>
      <c r="E81" s="72"/>
      <c r="F81" s="69"/>
      <c r="G81" s="70"/>
      <c r="H81" s="72"/>
      <c r="I81" s="24"/>
      <c r="J81" s="22"/>
      <c r="K81" s="22"/>
      <c r="L81" s="22"/>
      <c r="M81" s="22"/>
      <c r="N81" s="16"/>
      <c r="O81" s="16"/>
      <c r="P81" s="16"/>
      <c r="Q81" s="16"/>
      <c r="R81" s="17" t="s">
        <v>20</v>
      </c>
      <c r="S81" s="41">
        <f>SUM(S80:S80)</f>
        <v>1215000</v>
      </c>
      <c r="T81" s="18"/>
      <c r="U81" s="16"/>
      <c r="V81" s="60"/>
      <c r="W81" s="16"/>
      <c r="X81" s="18"/>
      <c r="Y81" s="18"/>
      <c r="AC81" s="34"/>
      <c r="AD81" s="34"/>
      <c r="AE81"/>
      <c r="AF81" s="38"/>
      <c r="AG81" s="87"/>
      <c r="AH81" s="120"/>
      <c r="AI81" s="120"/>
      <c r="AJ81" s="120"/>
      <c r="AK81" s="120"/>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row>
    <row r="82" spans="1:107" ht="15" customHeight="1" x14ac:dyDescent="0.25">
      <c r="C82" s="35"/>
      <c r="D82" s="13"/>
      <c r="E82" s="69"/>
      <c r="F82" s="69"/>
      <c r="G82" s="13"/>
      <c r="H82" s="69"/>
      <c r="AH82" s="120"/>
      <c r="AI82" s="120"/>
      <c r="AJ82" s="120"/>
      <c r="AK82" s="120"/>
    </row>
    <row r="83" spans="1:107" customFormat="1" ht="15" customHeight="1" x14ac:dyDescent="0.25">
      <c r="A83" s="92" t="s">
        <v>37</v>
      </c>
      <c r="B83" s="7"/>
      <c r="C83" s="35"/>
      <c r="D83" s="13"/>
      <c r="E83" s="69"/>
      <c r="F83" s="69"/>
      <c r="G83" s="13"/>
      <c r="H83" s="69"/>
      <c r="I83" s="7"/>
      <c r="J83" s="21"/>
      <c r="K83" s="21"/>
      <c r="L83" s="21"/>
      <c r="M83" s="21"/>
      <c r="N83" s="7"/>
      <c r="O83" s="7"/>
      <c r="P83" s="7"/>
      <c r="Q83" s="7"/>
      <c r="R83" s="7"/>
      <c r="S83" s="42"/>
      <c r="T83" s="7"/>
      <c r="U83" s="7"/>
      <c r="V83" s="55"/>
      <c r="W83" s="7"/>
      <c r="X83" s="8"/>
      <c r="Y83" s="8"/>
      <c r="Z83" s="8"/>
      <c r="AA83" s="35"/>
      <c r="AB83" s="35"/>
      <c r="AC83" s="34"/>
      <c r="AD83" s="34"/>
      <c r="AF83" s="38"/>
      <c r="AG83" s="87"/>
      <c r="AH83" s="120"/>
      <c r="AI83" s="120"/>
      <c r="AJ83" s="120"/>
      <c r="AK83" s="120"/>
    </row>
    <row r="84" spans="1:107" customFormat="1" ht="15" x14ac:dyDescent="0.25">
      <c r="A84" s="8">
        <v>25025</v>
      </c>
      <c r="B84" s="7" t="s">
        <v>247</v>
      </c>
      <c r="C84" s="7" t="s">
        <v>248</v>
      </c>
      <c r="D84" s="7" t="s">
        <v>249</v>
      </c>
      <c r="E84" s="13"/>
      <c r="F84" s="7">
        <v>75904</v>
      </c>
      <c r="G84" s="7" t="s">
        <v>250</v>
      </c>
      <c r="H84" s="7">
        <v>5</v>
      </c>
      <c r="I84" s="7" t="s">
        <v>71</v>
      </c>
      <c r="J84" s="21" t="s">
        <v>480</v>
      </c>
      <c r="K84" s="21" t="s">
        <v>480</v>
      </c>
      <c r="L84" s="21" t="s">
        <v>480</v>
      </c>
      <c r="M84" s="21" t="s">
        <v>481</v>
      </c>
      <c r="N84" s="7" t="s">
        <v>118</v>
      </c>
      <c r="O84" s="7">
        <v>60</v>
      </c>
      <c r="P84" s="7">
        <v>0</v>
      </c>
      <c r="Q84" s="7">
        <v>60</v>
      </c>
      <c r="R84" s="7" t="s">
        <v>75</v>
      </c>
      <c r="S84" s="42">
        <v>1714742.9306099999</v>
      </c>
      <c r="T84" s="42" t="s">
        <v>178</v>
      </c>
      <c r="U84" s="42" t="s">
        <v>179</v>
      </c>
      <c r="V84" s="55">
        <v>48005000903</v>
      </c>
      <c r="W84" s="55">
        <v>137</v>
      </c>
      <c r="X84" s="37">
        <v>17</v>
      </c>
      <c r="Y84" s="37">
        <v>4</v>
      </c>
      <c r="Z84" s="37">
        <v>8</v>
      </c>
      <c r="AA84" s="37">
        <v>4</v>
      </c>
      <c r="AB84" s="37">
        <v>0</v>
      </c>
      <c r="AC84" s="37">
        <v>1</v>
      </c>
      <c r="AD84" s="37">
        <v>171</v>
      </c>
      <c r="AE84" s="7"/>
      <c r="AF84" s="42">
        <v>5121.5991115767411</v>
      </c>
      <c r="AG84" s="87"/>
      <c r="AH84" s="120" t="s">
        <v>515</v>
      </c>
      <c r="AI84" s="21" t="s">
        <v>516</v>
      </c>
      <c r="AJ84" s="21" t="s">
        <v>516</v>
      </c>
      <c r="AK84" s="21" t="s">
        <v>516</v>
      </c>
    </row>
    <row r="85" spans="1:107" ht="15" customHeight="1" x14ac:dyDescent="0.25">
      <c r="A85" s="91" t="s">
        <v>24</v>
      </c>
      <c r="B85" s="15"/>
      <c r="C85" s="63">
        <v>1251873.9917416461</v>
      </c>
      <c r="D85" s="70"/>
      <c r="E85" s="72"/>
      <c r="F85" s="69"/>
      <c r="G85" s="70"/>
      <c r="H85" s="72"/>
      <c r="I85" s="24"/>
      <c r="J85" s="22"/>
      <c r="K85" s="22"/>
      <c r="L85" s="22"/>
      <c r="M85" s="22"/>
      <c r="N85" s="16"/>
      <c r="O85" s="16"/>
      <c r="P85" s="16"/>
      <c r="Q85" s="16"/>
      <c r="R85" s="17" t="s">
        <v>20</v>
      </c>
      <c r="S85" s="41">
        <f>SUM(S84:S84)</f>
        <v>1714742.9306099999</v>
      </c>
      <c r="T85" s="18"/>
      <c r="U85" s="16"/>
      <c r="V85" s="60"/>
      <c r="W85" s="16"/>
      <c r="X85" s="18"/>
      <c r="Y85" s="18"/>
      <c r="AC85" s="34"/>
      <c r="AD85" s="34"/>
      <c r="AE85"/>
      <c r="AF85" s="38"/>
      <c r="AG85" s="87"/>
      <c r="AH85" s="120"/>
      <c r="AI85" s="120"/>
      <c r="AJ85" s="120"/>
      <c r="AK85" s="120"/>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row>
    <row r="86" spans="1:107" ht="15" customHeight="1" x14ac:dyDescent="0.25">
      <c r="C86" s="35"/>
      <c r="D86" s="13"/>
      <c r="E86" s="69"/>
      <c r="F86" s="69"/>
      <c r="G86" s="13"/>
      <c r="H86" s="69"/>
      <c r="AH86" s="120"/>
      <c r="AI86" s="120"/>
      <c r="AJ86" s="120"/>
      <c r="AK86" s="120"/>
    </row>
    <row r="87" spans="1:107" ht="15" customHeight="1" x14ac:dyDescent="0.25">
      <c r="A87" s="92" t="s">
        <v>38</v>
      </c>
      <c r="C87" s="35"/>
      <c r="D87" s="13"/>
      <c r="E87" s="69"/>
      <c r="F87" s="69"/>
      <c r="G87" s="13"/>
      <c r="H87" s="69"/>
      <c r="AH87" s="120"/>
      <c r="AI87" s="120"/>
      <c r="AJ87" s="120"/>
      <c r="AK87" s="120"/>
    </row>
    <row r="88" spans="1:107" customFormat="1" ht="15" x14ac:dyDescent="0.25">
      <c r="A88" s="8">
        <v>25133</v>
      </c>
      <c r="B88" s="7" t="s">
        <v>256</v>
      </c>
      <c r="C88" s="7" t="s">
        <v>436</v>
      </c>
      <c r="D88" s="7" t="s">
        <v>252</v>
      </c>
      <c r="E88" s="13"/>
      <c r="F88" s="7">
        <v>77708</v>
      </c>
      <c r="G88" s="7" t="s">
        <v>253</v>
      </c>
      <c r="H88" s="7">
        <v>5</v>
      </c>
      <c r="I88" s="7" t="s">
        <v>78</v>
      </c>
      <c r="J88" s="21" t="s">
        <v>480</v>
      </c>
      <c r="K88" s="21" t="s">
        <v>480</v>
      </c>
      <c r="L88" s="21" t="s">
        <v>480</v>
      </c>
      <c r="M88" s="21" t="s">
        <v>480</v>
      </c>
      <c r="N88" s="7" t="s">
        <v>118</v>
      </c>
      <c r="O88" s="7">
        <v>63</v>
      </c>
      <c r="P88" s="7">
        <v>0</v>
      </c>
      <c r="Q88" s="7">
        <v>63</v>
      </c>
      <c r="R88" s="7" t="s">
        <v>75</v>
      </c>
      <c r="S88" s="42">
        <v>1661816</v>
      </c>
      <c r="T88" s="42" t="s">
        <v>437</v>
      </c>
      <c r="U88" s="42" t="s">
        <v>141</v>
      </c>
      <c r="V88" s="55">
        <v>48245000200</v>
      </c>
      <c r="W88" s="55">
        <v>138</v>
      </c>
      <c r="X88" s="37">
        <v>17</v>
      </c>
      <c r="Y88" s="37">
        <v>4</v>
      </c>
      <c r="Z88" s="37">
        <v>8</v>
      </c>
      <c r="AA88" s="37">
        <v>4</v>
      </c>
      <c r="AB88" s="37">
        <v>0</v>
      </c>
      <c r="AC88" s="37">
        <v>1</v>
      </c>
      <c r="AD88" s="37">
        <v>172</v>
      </c>
      <c r="AE88" s="7"/>
      <c r="AF88" s="42">
        <v>5543.6700310817087</v>
      </c>
      <c r="AG88" s="104" t="s">
        <v>506</v>
      </c>
      <c r="AH88" s="21" t="s">
        <v>515</v>
      </c>
      <c r="AI88" s="21" t="s">
        <v>516</v>
      </c>
      <c r="AJ88" s="21" t="s">
        <v>516</v>
      </c>
      <c r="AK88" s="21" t="s">
        <v>516</v>
      </c>
    </row>
    <row r="89" spans="1:107" s="112" customFormat="1" ht="15" x14ac:dyDescent="0.25">
      <c r="A89" s="105">
        <v>25082</v>
      </c>
      <c r="B89" s="106" t="s">
        <v>254</v>
      </c>
      <c r="C89" s="106" t="s">
        <v>435</v>
      </c>
      <c r="D89" s="106" t="s">
        <v>255</v>
      </c>
      <c r="E89" s="106"/>
      <c r="F89" s="106">
        <v>77360</v>
      </c>
      <c r="G89" s="106" t="s">
        <v>255</v>
      </c>
      <c r="H89" s="106">
        <v>5</v>
      </c>
      <c r="I89" s="106" t="s">
        <v>78</v>
      </c>
      <c r="J89" s="107" t="s">
        <v>480</v>
      </c>
      <c r="K89" s="107" t="s">
        <v>480</v>
      </c>
      <c r="L89" s="107" t="s">
        <v>480</v>
      </c>
      <c r="M89" s="107" t="s">
        <v>480</v>
      </c>
      <c r="N89" s="106" t="s">
        <v>118</v>
      </c>
      <c r="O89" s="106">
        <v>63</v>
      </c>
      <c r="P89" s="106">
        <v>11</v>
      </c>
      <c r="Q89" s="106">
        <v>74</v>
      </c>
      <c r="R89" s="106" t="s">
        <v>75</v>
      </c>
      <c r="S89" s="108">
        <v>1661816</v>
      </c>
      <c r="T89" s="108" t="s">
        <v>235</v>
      </c>
      <c r="U89" s="108" t="s">
        <v>120</v>
      </c>
      <c r="V89" s="109">
        <v>48361020700</v>
      </c>
      <c r="W89" s="109">
        <v>138</v>
      </c>
      <c r="X89" s="110">
        <v>17</v>
      </c>
      <c r="Y89" s="110">
        <v>4</v>
      </c>
      <c r="Z89" s="110">
        <v>8</v>
      </c>
      <c r="AA89" s="110">
        <v>4</v>
      </c>
      <c r="AB89" s="110">
        <v>0</v>
      </c>
      <c r="AC89" s="110">
        <v>1</v>
      </c>
      <c r="AD89" s="110">
        <v>172</v>
      </c>
      <c r="AE89" s="106"/>
      <c r="AF89" s="108">
        <v>9510.7502858895405</v>
      </c>
      <c r="AG89" s="113" t="s">
        <v>486</v>
      </c>
      <c r="AH89" s="124"/>
      <c r="AI89" s="124"/>
      <c r="AJ89" s="124"/>
      <c r="AK89" s="124"/>
    </row>
    <row r="90" spans="1:107" ht="15" customHeight="1" x14ac:dyDescent="0.25">
      <c r="A90" s="91" t="s">
        <v>24</v>
      </c>
      <c r="B90" s="15"/>
      <c r="C90" s="63">
        <v>1152918.2149462802</v>
      </c>
      <c r="D90" s="70"/>
      <c r="E90" s="72"/>
      <c r="F90" s="69"/>
      <c r="G90" s="70"/>
      <c r="H90" s="72"/>
      <c r="I90" s="24"/>
      <c r="J90" s="22"/>
      <c r="K90" s="22"/>
      <c r="L90" s="22"/>
      <c r="M90" s="22"/>
      <c r="N90" s="16"/>
      <c r="O90" s="16"/>
      <c r="P90" s="16"/>
      <c r="Q90" s="16"/>
      <c r="R90" s="17" t="s">
        <v>20</v>
      </c>
      <c r="S90" s="41">
        <f>SUM(S88:S89)</f>
        <v>3323632</v>
      </c>
      <c r="T90" s="18"/>
      <c r="U90" s="16"/>
      <c r="V90" s="60"/>
      <c r="W90" s="16"/>
      <c r="X90" s="18"/>
      <c r="Y90" s="18"/>
      <c r="AC90" s="34"/>
      <c r="AD90" s="34"/>
      <c r="AE90"/>
      <c r="AF90" s="38"/>
      <c r="AG90" s="87"/>
      <c r="AH90" s="120"/>
      <c r="AI90" s="120"/>
      <c r="AJ90" s="120"/>
      <c r="AK90" s="12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row>
    <row r="91" spans="1:107" ht="15" customHeight="1" x14ac:dyDescent="0.25">
      <c r="C91" s="35"/>
      <c r="D91" s="13"/>
      <c r="E91" s="69"/>
      <c r="F91" s="69"/>
      <c r="G91" s="13"/>
      <c r="H91" s="69"/>
      <c r="AH91" s="120"/>
      <c r="AI91" s="120"/>
      <c r="AJ91" s="120"/>
      <c r="AK91" s="120"/>
    </row>
    <row r="92" spans="1:107" customFormat="1" ht="15" customHeight="1" x14ac:dyDescent="0.25">
      <c r="A92" s="92" t="s">
        <v>39</v>
      </c>
      <c r="B92" s="7"/>
      <c r="C92" s="35"/>
      <c r="D92" s="13"/>
      <c r="E92" s="69"/>
      <c r="F92" s="69"/>
      <c r="G92" s="13"/>
      <c r="H92" s="69"/>
      <c r="I92" s="7"/>
      <c r="J92" s="21"/>
      <c r="K92" s="21"/>
      <c r="L92" s="21"/>
      <c r="M92" s="21"/>
      <c r="N92" s="7"/>
      <c r="O92" s="7"/>
      <c r="P92" s="7"/>
      <c r="Q92" s="7"/>
      <c r="R92" s="7"/>
      <c r="S92" s="42"/>
      <c r="T92" s="7"/>
      <c r="U92" s="7"/>
      <c r="V92" s="55"/>
      <c r="W92" s="7"/>
      <c r="X92" s="8"/>
      <c r="Y92" s="8"/>
      <c r="Z92" s="8"/>
      <c r="AA92" s="35"/>
      <c r="AB92" s="35"/>
      <c r="AC92" s="34"/>
      <c r="AD92" s="34"/>
      <c r="AF92" s="38"/>
      <c r="AG92" s="87"/>
      <c r="AH92" s="120"/>
      <c r="AI92" s="120"/>
      <c r="AJ92" s="120"/>
      <c r="AK92" s="120"/>
    </row>
    <row r="93" spans="1:107" customFormat="1" ht="15" customHeight="1" x14ac:dyDescent="0.25">
      <c r="A93" s="8">
        <v>25064</v>
      </c>
      <c r="B93" s="7" t="s">
        <v>438</v>
      </c>
      <c r="C93" s="7" t="s">
        <v>439</v>
      </c>
      <c r="D93" s="7" t="s">
        <v>257</v>
      </c>
      <c r="E93" s="13"/>
      <c r="F93" s="7">
        <v>77474</v>
      </c>
      <c r="G93" s="7" t="s">
        <v>112</v>
      </c>
      <c r="H93" s="7">
        <v>6</v>
      </c>
      <c r="I93" s="7" t="s">
        <v>71</v>
      </c>
      <c r="J93" s="21" t="s">
        <v>480</v>
      </c>
      <c r="K93" s="21" t="s">
        <v>480</v>
      </c>
      <c r="L93" s="21" t="s">
        <v>480</v>
      </c>
      <c r="M93" s="21" t="s">
        <v>480</v>
      </c>
      <c r="N93" s="7" t="s">
        <v>118</v>
      </c>
      <c r="O93" s="7">
        <v>52</v>
      </c>
      <c r="P93" s="7">
        <v>4</v>
      </c>
      <c r="Q93" s="7">
        <v>56</v>
      </c>
      <c r="R93" s="7" t="s">
        <v>72</v>
      </c>
      <c r="S93" s="42">
        <v>1125000</v>
      </c>
      <c r="T93" s="42" t="s">
        <v>258</v>
      </c>
      <c r="U93" s="42" t="s">
        <v>259</v>
      </c>
      <c r="V93" s="55">
        <v>48015760302</v>
      </c>
      <c r="W93" s="55">
        <v>127</v>
      </c>
      <c r="X93" s="37">
        <v>17</v>
      </c>
      <c r="Y93" s="37">
        <v>4</v>
      </c>
      <c r="Z93" s="37">
        <v>8</v>
      </c>
      <c r="AA93" s="37">
        <v>4</v>
      </c>
      <c r="AB93" s="37">
        <v>0</v>
      </c>
      <c r="AC93" s="37">
        <v>1</v>
      </c>
      <c r="AD93" s="37">
        <v>161</v>
      </c>
      <c r="AE93" s="7"/>
      <c r="AF93" s="42">
        <v>9121.3282916508397</v>
      </c>
      <c r="AG93" s="87"/>
      <c r="AH93" s="120" t="s">
        <v>515</v>
      </c>
      <c r="AI93" s="21" t="s">
        <v>516</v>
      </c>
      <c r="AJ93" s="21" t="s">
        <v>516</v>
      </c>
      <c r="AK93" s="21" t="s">
        <v>516</v>
      </c>
    </row>
    <row r="94" spans="1:107" ht="15" customHeight="1" x14ac:dyDescent="0.25">
      <c r="A94" s="91" t="s">
        <v>24</v>
      </c>
      <c r="B94" s="15"/>
      <c r="C94" s="63">
        <v>750000</v>
      </c>
      <c r="D94" s="70"/>
      <c r="E94" s="72"/>
      <c r="F94" s="69"/>
      <c r="G94" s="70"/>
      <c r="H94" s="72"/>
      <c r="I94" s="24"/>
      <c r="J94" s="22"/>
      <c r="K94" s="22"/>
      <c r="L94" s="22"/>
      <c r="M94" s="22"/>
      <c r="N94" s="16"/>
      <c r="O94" s="16"/>
      <c r="P94" s="16"/>
      <c r="Q94" s="16"/>
      <c r="R94" s="17" t="s">
        <v>20</v>
      </c>
      <c r="S94" s="41">
        <f>SUM(S93:S93)</f>
        <v>1125000</v>
      </c>
      <c r="T94" s="18"/>
      <c r="U94" s="16"/>
      <c r="V94" s="60"/>
      <c r="W94" s="16"/>
      <c r="X94" s="18"/>
      <c r="Y94" s="18"/>
      <c r="AC94" s="34"/>
      <c r="AD94" s="34"/>
      <c r="AE94"/>
      <c r="AF94" s="38"/>
      <c r="AG94" s="87"/>
      <c r="AH94" s="120"/>
      <c r="AI94" s="120"/>
      <c r="AJ94" s="120"/>
      <c r="AK94" s="120"/>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row>
    <row r="95" spans="1:107" ht="15" customHeight="1" x14ac:dyDescent="0.25">
      <c r="C95" s="35"/>
      <c r="D95" s="13"/>
      <c r="E95" s="69"/>
      <c r="F95" s="69"/>
      <c r="G95" s="13"/>
      <c r="H95" s="69"/>
      <c r="AH95" s="120"/>
      <c r="AI95" s="120"/>
      <c r="AJ95" s="120"/>
      <c r="AK95" s="120"/>
    </row>
    <row r="96" spans="1:107" customFormat="1" ht="15" customHeight="1" x14ac:dyDescent="0.25">
      <c r="A96" s="92" t="s">
        <v>40</v>
      </c>
      <c r="B96" s="7"/>
      <c r="C96" s="35"/>
      <c r="D96" s="13"/>
      <c r="E96" s="69"/>
      <c r="F96" s="69"/>
      <c r="G96" s="13"/>
      <c r="H96" s="69"/>
      <c r="I96" s="7"/>
      <c r="J96" s="21"/>
      <c r="K96" s="21"/>
      <c r="L96" s="21"/>
      <c r="M96" s="21"/>
      <c r="N96" s="7"/>
      <c r="O96" s="7"/>
      <c r="P96" s="7"/>
      <c r="Q96" s="7"/>
      <c r="R96" s="7"/>
      <c r="S96" s="42"/>
      <c r="T96" s="7"/>
      <c r="U96" s="7"/>
      <c r="V96" s="55"/>
      <c r="W96" s="7"/>
      <c r="X96" s="8"/>
      <c r="Y96" s="8"/>
      <c r="Z96" s="8"/>
      <c r="AA96" s="35"/>
      <c r="AB96" s="35"/>
      <c r="AC96" s="34"/>
      <c r="AD96" s="34"/>
      <c r="AF96" s="38"/>
      <c r="AG96" s="87"/>
      <c r="AH96" s="120"/>
      <c r="AI96" s="120"/>
      <c r="AJ96" s="120"/>
      <c r="AK96" s="120"/>
    </row>
    <row r="97" spans="1:107" s="80" customFormat="1" ht="15" x14ac:dyDescent="0.25">
      <c r="A97" s="8">
        <v>25165</v>
      </c>
      <c r="B97" s="7" t="s">
        <v>285</v>
      </c>
      <c r="C97" s="7" t="s">
        <v>286</v>
      </c>
      <c r="D97" s="7" t="s">
        <v>287</v>
      </c>
      <c r="E97" s="13"/>
      <c r="F97" s="7">
        <v>77301</v>
      </c>
      <c r="G97" s="7" t="s">
        <v>106</v>
      </c>
      <c r="H97" s="7">
        <v>6</v>
      </c>
      <c r="I97" s="7" t="s">
        <v>78</v>
      </c>
      <c r="J97" s="21" t="s">
        <v>480</v>
      </c>
      <c r="K97" s="21" t="s">
        <v>480</v>
      </c>
      <c r="L97" s="21" t="s">
        <v>480</v>
      </c>
      <c r="M97" s="21" t="s">
        <v>481</v>
      </c>
      <c r="N97" s="7" t="s">
        <v>484</v>
      </c>
      <c r="O97" s="7">
        <v>64</v>
      </c>
      <c r="P97" s="7">
        <v>7</v>
      </c>
      <c r="Q97" s="7">
        <v>71</v>
      </c>
      <c r="R97" s="7" t="s">
        <v>75</v>
      </c>
      <c r="S97" s="42">
        <v>2000000</v>
      </c>
      <c r="T97" s="42" t="s">
        <v>173</v>
      </c>
      <c r="U97" s="42" t="s">
        <v>100</v>
      </c>
      <c r="V97" s="55">
        <v>48339693503</v>
      </c>
      <c r="W97" s="55">
        <v>134</v>
      </c>
      <c r="X97" s="37">
        <v>17</v>
      </c>
      <c r="Y97" s="37">
        <v>4</v>
      </c>
      <c r="Z97" s="37">
        <v>8</v>
      </c>
      <c r="AA97" s="37">
        <v>4</v>
      </c>
      <c r="AB97" s="37">
        <v>7</v>
      </c>
      <c r="AC97" s="37">
        <v>1</v>
      </c>
      <c r="AD97" s="37">
        <v>175</v>
      </c>
      <c r="AE97" s="7"/>
      <c r="AF97" s="42">
        <v>3635.1289619898566</v>
      </c>
      <c r="AG97" s="87" t="s">
        <v>493</v>
      </c>
      <c r="AH97" s="120" t="s">
        <v>515</v>
      </c>
      <c r="AI97" s="21" t="s">
        <v>516</v>
      </c>
      <c r="AJ97" s="21" t="s">
        <v>516</v>
      </c>
      <c r="AK97" s="21" t="s">
        <v>516</v>
      </c>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row>
    <row r="98" spans="1:107" customFormat="1" ht="15" x14ac:dyDescent="0.25">
      <c r="A98" s="8">
        <v>25128</v>
      </c>
      <c r="B98" s="7" t="s">
        <v>278</v>
      </c>
      <c r="C98" s="7" t="s">
        <v>279</v>
      </c>
      <c r="D98" s="7" t="s">
        <v>128</v>
      </c>
      <c r="E98" s="13" t="s">
        <v>397</v>
      </c>
      <c r="F98" s="7">
        <v>77083</v>
      </c>
      <c r="G98" s="7" t="s">
        <v>280</v>
      </c>
      <c r="H98" s="7">
        <v>6</v>
      </c>
      <c r="I98" s="7" t="s">
        <v>78</v>
      </c>
      <c r="J98" s="21" t="s">
        <v>480</v>
      </c>
      <c r="K98" s="21" t="s">
        <v>480</v>
      </c>
      <c r="L98" s="21" t="s">
        <v>480</v>
      </c>
      <c r="M98" s="21" t="s">
        <v>480</v>
      </c>
      <c r="N98" s="7" t="s">
        <v>118</v>
      </c>
      <c r="O98" s="7">
        <v>90</v>
      </c>
      <c r="P98" s="7">
        <v>0</v>
      </c>
      <c r="Q98" s="7">
        <v>90</v>
      </c>
      <c r="R98" s="7" t="s">
        <v>72</v>
      </c>
      <c r="S98" s="42">
        <v>2000000</v>
      </c>
      <c r="T98" s="42" t="s">
        <v>444</v>
      </c>
      <c r="U98" s="42" t="s">
        <v>276</v>
      </c>
      <c r="V98" s="55">
        <v>48157672602</v>
      </c>
      <c r="W98" s="55">
        <v>139</v>
      </c>
      <c r="X98" s="37">
        <v>17</v>
      </c>
      <c r="Y98" s="37">
        <v>4</v>
      </c>
      <c r="Z98" s="37">
        <v>8</v>
      </c>
      <c r="AA98" s="37">
        <v>4</v>
      </c>
      <c r="AB98" s="37">
        <v>0</v>
      </c>
      <c r="AC98" s="37">
        <v>1</v>
      </c>
      <c r="AD98" s="37">
        <v>173</v>
      </c>
      <c r="AE98" s="7"/>
      <c r="AF98" s="42">
        <v>2466.0451953179618</v>
      </c>
      <c r="AG98" s="87" t="s">
        <v>489</v>
      </c>
      <c r="AH98" s="120" t="s">
        <v>515</v>
      </c>
      <c r="AI98" s="21" t="s">
        <v>516</v>
      </c>
      <c r="AJ98" s="21" t="s">
        <v>516</v>
      </c>
      <c r="AK98" s="21" t="s">
        <v>516</v>
      </c>
    </row>
    <row r="99" spans="1:107" customFormat="1" ht="15" x14ac:dyDescent="0.25">
      <c r="A99" s="8">
        <v>25031</v>
      </c>
      <c r="B99" s="7" t="s">
        <v>263</v>
      </c>
      <c r="C99" s="7" t="s">
        <v>440</v>
      </c>
      <c r="D99" s="7" t="s">
        <v>128</v>
      </c>
      <c r="E99" s="13" t="s">
        <v>397</v>
      </c>
      <c r="F99" s="7">
        <v>77449</v>
      </c>
      <c r="G99" s="7" t="s">
        <v>260</v>
      </c>
      <c r="H99" s="7">
        <v>6</v>
      </c>
      <c r="I99" s="7" t="s">
        <v>78</v>
      </c>
      <c r="J99" s="21" t="s">
        <v>480</v>
      </c>
      <c r="K99" s="21" t="s">
        <v>480</v>
      </c>
      <c r="L99" s="21" t="s">
        <v>480</v>
      </c>
      <c r="M99" s="21" t="s">
        <v>481</v>
      </c>
      <c r="N99" s="7" t="s">
        <v>118</v>
      </c>
      <c r="O99" s="7">
        <v>90</v>
      </c>
      <c r="P99" s="7">
        <v>33</v>
      </c>
      <c r="Q99" s="7">
        <v>123</v>
      </c>
      <c r="R99" s="7" t="s">
        <v>75</v>
      </c>
      <c r="S99" s="42">
        <v>2000000</v>
      </c>
      <c r="T99" s="42" t="s">
        <v>264</v>
      </c>
      <c r="U99" s="42" t="s">
        <v>441</v>
      </c>
      <c r="V99" s="55">
        <v>48201542002</v>
      </c>
      <c r="W99" s="55">
        <v>139</v>
      </c>
      <c r="X99" s="37">
        <v>17</v>
      </c>
      <c r="Y99" s="37">
        <v>4</v>
      </c>
      <c r="Z99" s="37">
        <v>8</v>
      </c>
      <c r="AA99" s="37">
        <v>4</v>
      </c>
      <c r="AB99" s="37">
        <v>0</v>
      </c>
      <c r="AC99" s="37">
        <v>1</v>
      </c>
      <c r="AD99" s="37">
        <v>173</v>
      </c>
      <c r="AE99" s="7"/>
      <c r="AF99" s="42">
        <v>2657.290614764257</v>
      </c>
      <c r="AG99" s="87" t="s">
        <v>489</v>
      </c>
      <c r="AH99" s="120" t="s">
        <v>515</v>
      </c>
      <c r="AI99" s="21" t="s">
        <v>516</v>
      </c>
      <c r="AJ99" s="21" t="s">
        <v>516</v>
      </c>
      <c r="AK99" s="21" t="s">
        <v>516</v>
      </c>
    </row>
    <row r="100" spans="1:107" customFormat="1" ht="15" x14ac:dyDescent="0.25">
      <c r="A100" s="8">
        <v>25150</v>
      </c>
      <c r="B100" s="7" t="s">
        <v>283</v>
      </c>
      <c r="C100" s="7" t="s">
        <v>284</v>
      </c>
      <c r="D100" s="7" t="s">
        <v>128</v>
      </c>
      <c r="E100" s="13"/>
      <c r="F100" s="7">
        <v>77084</v>
      </c>
      <c r="G100" s="7" t="s">
        <v>260</v>
      </c>
      <c r="H100" s="7">
        <v>6</v>
      </c>
      <c r="I100" s="7" t="s">
        <v>78</v>
      </c>
      <c r="J100" s="21" t="s">
        <v>480</v>
      </c>
      <c r="K100" s="21" t="s">
        <v>480</v>
      </c>
      <c r="L100" s="21" t="s">
        <v>480</v>
      </c>
      <c r="M100" s="21" t="s">
        <v>480</v>
      </c>
      <c r="N100" s="7" t="s">
        <v>118</v>
      </c>
      <c r="O100" s="7">
        <v>90</v>
      </c>
      <c r="P100" s="7">
        <v>0</v>
      </c>
      <c r="Q100" s="7">
        <v>90</v>
      </c>
      <c r="R100" s="7" t="s">
        <v>75</v>
      </c>
      <c r="S100" s="42">
        <v>2000000</v>
      </c>
      <c r="T100" s="42" t="s">
        <v>236</v>
      </c>
      <c r="U100" s="42" t="s">
        <v>100</v>
      </c>
      <c r="V100" s="55">
        <v>48201540602</v>
      </c>
      <c r="W100" s="55">
        <v>139</v>
      </c>
      <c r="X100" s="37">
        <v>17</v>
      </c>
      <c r="Y100" s="37">
        <v>4</v>
      </c>
      <c r="Z100" s="37">
        <v>8</v>
      </c>
      <c r="AA100" s="37">
        <v>4</v>
      </c>
      <c r="AB100" s="37">
        <v>0</v>
      </c>
      <c r="AC100" s="37">
        <v>1</v>
      </c>
      <c r="AD100" s="37">
        <v>173</v>
      </c>
      <c r="AE100" s="7"/>
      <c r="AF100" s="42">
        <v>5404.7769667661705</v>
      </c>
      <c r="AG100" s="87" t="s">
        <v>489</v>
      </c>
      <c r="AH100" s="120" t="s">
        <v>515</v>
      </c>
      <c r="AI100" s="21" t="s">
        <v>516</v>
      </c>
      <c r="AJ100" s="21" t="s">
        <v>516</v>
      </c>
      <c r="AK100" s="21" t="s">
        <v>516</v>
      </c>
    </row>
    <row r="101" spans="1:107" s="80" customFormat="1" ht="15" x14ac:dyDescent="0.25">
      <c r="A101" s="8">
        <v>25178</v>
      </c>
      <c r="B101" s="7" t="s">
        <v>445</v>
      </c>
      <c r="C101" s="7" t="s">
        <v>446</v>
      </c>
      <c r="D101" s="7" t="s">
        <v>128</v>
      </c>
      <c r="E101" s="13"/>
      <c r="F101" s="7">
        <v>77081</v>
      </c>
      <c r="G101" s="7" t="s">
        <v>260</v>
      </c>
      <c r="H101" s="7">
        <v>6</v>
      </c>
      <c r="I101" s="7" t="s">
        <v>78</v>
      </c>
      <c r="J101" s="21" t="s">
        <v>480</v>
      </c>
      <c r="K101" s="21" t="s">
        <v>480</v>
      </c>
      <c r="L101" s="21" t="s">
        <v>397</v>
      </c>
      <c r="M101" s="21" t="s">
        <v>480</v>
      </c>
      <c r="N101" s="7" t="s">
        <v>118</v>
      </c>
      <c r="O101" s="7">
        <v>90</v>
      </c>
      <c r="P101" s="7">
        <v>0</v>
      </c>
      <c r="Q101" s="7">
        <v>90</v>
      </c>
      <c r="R101" s="7" t="s">
        <v>72</v>
      </c>
      <c r="S101" s="42">
        <v>2000000</v>
      </c>
      <c r="T101" s="42" t="s">
        <v>288</v>
      </c>
      <c r="U101" s="42" t="s">
        <v>289</v>
      </c>
      <c r="V101" s="55">
        <v>48201421301</v>
      </c>
      <c r="W101" s="55">
        <v>132</v>
      </c>
      <c r="X101" s="37">
        <v>17</v>
      </c>
      <c r="Y101" s="37">
        <v>4</v>
      </c>
      <c r="Z101" s="37">
        <v>8</v>
      </c>
      <c r="AA101" s="37">
        <v>4</v>
      </c>
      <c r="AB101" s="37">
        <v>7</v>
      </c>
      <c r="AC101" s="37">
        <v>1</v>
      </c>
      <c r="AD101" s="37">
        <v>173</v>
      </c>
      <c r="AE101" s="7"/>
      <c r="AF101" s="42">
        <v>6995.0538258768474</v>
      </c>
      <c r="AG101" s="87" t="s">
        <v>493</v>
      </c>
      <c r="AH101" s="120" t="s">
        <v>515</v>
      </c>
      <c r="AI101" s="21" t="s">
        <v>516</v>
      </c>
      <c r="AJ101" s="21" t="s">
        <v>516</v>
      </c>
      <c r="AK101" s="21" t="s">
        <v>516</v>
      </c>
    </row>
    <row r="102" spans="1:107" customFormat="1" ht="15" x14ac:dyDescent="0.25">
      <c r="A102" s="8">
        <v>25074</v>
      </c>
      <c r="B102" s="7" t="s">
        <v>269</v>
      </c>
      <c r="C102" s="7" t="s">
        <v>442</v>
      </c>
      <c r="D102" s="7" t="s">
        <v>128</v>
      </c>
      <c r="E102" s="13"/>
      <c r="F102" s="7">
        <v>77016</v>
      </c>
      <c r="G102" s="7" t="s">
        <v>260</v>
      </c>
      <c r="H102" s="7">
        <v>6</v>
      </c>
      <c r="I102" s="7" t="s">
        <v>78</v>
      </c>
      <c r="J102" s="21" t="s">
        <v>480</v>
      </c>
      <c r="K102" s="21" t="s">
        <v>480</v>
      </c>
      <c r="L102" s="21" t="s">
        <v>480</v>
      </c>
      <c r="M102" s="21" t="s">
        <v>480</v>
      </c>
      <c r="N102" s="7" t="s">
        <v>118</v>
      </c>
      <c r="O102" s="7">
        <v>96</v>
      </c>
      <c r="P102" s="7">
        <v>0</v>
      </c>
      <c r="Q102" s="7">
        <v>96</v>
      </c>
      <c r="R102" s="7" t="s">
        <v>75</v>
      </c>
      <c r="S102" s="42">
        <v>2000000</v>
      </c>
      <c r="T102" s="42" t="s">
        <v>268</v>
      </c>
      <c r="U102" s="42" t="s">
        <v>267</v>
      </c>
      <c r="V102" s="55">
        <v>48201231900</v>
      </c>
      <c r="W102" s="55">
        <v>132</v>
      </c>
      <c r="X102" s="37">
        <v>17</v>
      </c>
      <c r="Y102" s="37">
        <v>4</v>
      </c>
      <c r="Z102" s="37">
        <v>8</v>
      </c>
      <c r="AA102" s="37">
        <v>4</v>
      </c>
      <c r="AB102" s="37">
        <v>7</v>
      </c>
      <c r="AC102" s="37">
        <v>1</v>
      </c>
      <c r="AD102" s="37">
        <v>173</v>
      </c>
      <c r="AE102" s="7"/>
      <c r="AF102" s="42">
        <v>7930.1554452869623</v>
      </c>
      <c r="AG102" s="87" t="s">
        <v>489</v>
      </c>
      <c r="AH102" s="120" t="s">
        <v>515</v>
      </c>
      <c r="AI102" s="21" t="s">
        <v>516</v>
      </c>
      <c r="AJ102" s="21" t="s">
        <v>516</v>
      </c>
      <c r="AK102" s="21" t="s">
        <v>516</v>
      </c>
    </row>
    <row r="103" spans="1:107" customFormat="1" ht="15" x14ac:dyDescent="0.25">
      <c r="A103" s="8">
        <v>25126</v>
      </c>
      <c r="B103" s="7" t="s">
        <v>443</v>
      </c>
      <c r="C103" s="7" t="s">
        <v>277</v>
      </c>
      <c r="D103" s="7" t="s">
        <v>128</v>
      </c>
      <c r="E103" s="13"/>
      <c r="F103" s="7">
        <v>77075</v>
      </c>
      <c r="G103" s="7" t="s">
        <v>260</v>
      </c>
      <c r="H103" s="7">
        <v>6</v>
      </c>
      <c r="I103" s="7" t="s">
        <v>78</v>
      </c>
      <c r="J103" s="21" t="s">
        <v>480</v>
      </c>
      <c r="K103" s="21" t="s">
        <v>480</v>
      </c>
      <c r="L103" s="21" t="s">
        <v>480</v>
      </c>
      <c r="M103" s="21" t="s">
        <v>480</v>
      </c>
      <c r="N103" s="7" t="s">
        <v>118</v>
      </c>
      <c r="O103" s="7">
        <v>90</v>
      </c>
      <c r="P103" s="7">
        <v>0</v>
      </c>
      <c r="Q103" s="7">
        <v>90</v>
      </c>
      <c r="R103" s="7" t="s">
        <v>72</v>
      </c>
      <c r="S103" s="42">
        <v>2000000</v>
      </c>
      <c r="T103" s="42" t="s">
        <v>417</v>
      </c>
      <c r="U103" s="42" t="s">
        <v>189</v>
      </c>
      <c r="V103" s="55">
        <v>48201333904</v>
      </c>
      <c r="W103" s="55">
        <v>132</v>
      </c>
      <c r="X103" s="37">
        <v>17</v>
      </c>
      <c r="Y103" s="37">
        <v>4</v>
      </c>
      <c r="Z103" s="37">
        <v>8</v>
      </c>
      <c r="AA103" s="37">
        <v>4</v>
      </c>
      <c r="AB103" s="37">
        <v>7</v>
      </c>
      <c r="AC103" s="37">
        <v>1</v>
      </c>
      <c r="AD103" s="37">
        <v>173</v>
      </c>
      <c r="AE103" s="7"/>
      <c r="AF103" s="42">
        <v>8512.2558859795863</v>
      </c>
      <c r="AG103" s="87"/>
      <c r="AH103" s="120" t="s">
        <v>515</v>
      </c>
      <c r="AI103" s="21" t="s">
        <v>516</v>
      </c>
      <c r="AJ103" s="21" t="s">
        <v>516</v>
      </c>
      <c r="AK103" s="21" t="s">
        <v>516</v>
      </c>
    </row>
    <row r="104" spans="1:107" customFormat="1" ht="15" x14ac:dyDescent="0.25">
      <c r="A104" s="8">
        <v>25073</v>
      </c>
      <c r="B104" s="7" t="s">
        <v>265</v>
      </c>
      <c r="C104" s="7" t="s">
        <v>266</v>
      </c>
      <c r="D104" s="7" t="s">
        <v>128</v>
      </c>
      <c r="E104" s="13"/>
      <c r="F104" s="7">
        <v>77099</v>
      </c>
      <c r="G104" s="7" t="s">
        <v>260</v>
      </c>
      <c r="H104" s="7">
        <v>6</v>
      </c>
      <c r="I104" s="7" t="s">
        <v>78</v>
      </c>
      <c r="J104" s="21" t="s">
        <v>480</v>
      </c>
      <c r="K104" s="21" t="s">
        <v>480</v>
      </c>
      <c r="L104" s="21" t="s">
        <v>480</v>
      </c>
      <c r="M104" s="21" t="s">
        <v>482</v>
      </c>
      <c r="N104" s="7" t="s">
        <v>118</v>
      </c>
      <c r="O104" s="7">
        <v>72</v>
      </c>
      <c r="P104" s="7">
        <v>0</v>
      </c>
      <c r="Q104" s="7">
        <v>72</v>
      </c>
      <c r="R104" s="7" t="s">
        <v>75</v>
      </c>
      <c r="S104" s="42">
        <v>2000000</v>
      </c>
      <c r="T104" s="42" t="s">
        <v>268</v>
      </c>
      <c r="U104" s="42" t="s">
        <v>267</v>
      </c>
      <c r="V104" s="55">
        <v>48201453403</v>
      </c>
      <c r="W104" s="55">
        <v>130</v>
      </c>
      <c r="X104" s="37">
        <v>17</v>
      </c>
      <c r="Y104" s="37">
        <v>4</v>
      </c>
      <c r="Z104" s="37">
        <v>8</v>
      </c>
      <c r="AA104" s="37">
        <v>4</v>
      </c>
      <c r="AB104" s="37">
        <v>7</v>
      </c>
      <c r="AC104" s="37">
        <v>1</v>
      </c>
      <c r="AD104" s="37">
        <v>171</v>
      </c>
      <c r="AE104" s="7"/>
      <c r="AF104" s="42">
        <v>2586.4813259949005</v>
      </c>
      <c r="AG104" s="87" t="s">
        <v>489</v>
      </c>
      <c r="AH104" s="120" t="s">
        <v>515</v>
      </c>
      <c r="AI104" s="21" t="s">
        <v>516</v>
      </c>
      <c r="AJ104" s="21" t="s">
        <v>516</v>
      </c>
      <c r="AK104" s="21" t="s">
        <v>516</v>
      </c>
    </row>
    <row r="105" spans="1:107" customFormat="1" ht="15" x14ac:dyDescent="0.25">
      <c r="A105" s="8">
        <v>25090</v>
      </c>
      <c r="B105" s="7" t="s">
        <v>270</v>
      </c>
      <c r="C105" s="7" t="s">
        <v>271</v>
      </c>
      <c r="D105" s="7" t="s">
        <v>128</v>
      </c>
      <c r="E105" s="13"/>
      <c r="F105" s="7">
        <v>77004</v>
      </c>
      <c r="G105" s="7" t="s">
        <v>260</v>
      </c>
      <c r="H105" s="7">
        <v>6</v>
      </c>
      <c r="I105" s="7" t="s">
        <v>78</v>
      </c>
      <c r="J105" s="21" t="s">
        <v>480</v>
      </c>
      <c r="K105" s="21" t="s">
        <v>480</v>
      </c>
      <c r="L105" s="21" t="s">
        <v>480</v>
      </c>
      <c r="M105" s="21" t="s">
        <v>480</v>
      </c>
      <c r="N105" s="7" t="s">
        <v>118</v>
      </c>
      <c r="O105" s="7">
        <v>90</v>
      </c>
      <c r="P105" s="7">
        <v>0</v>
      </c>
      <c r="Q105" s="7">
        <v>90</v>
      </c>
      <c r="R105" s="7" t="s">
        <v>72</v>
      </c>
      <c r="S105" s="42">
        <v>2000000</v>
      </c>
      <c r="T105" s="42" t="s">
        <v>272</v>
      </c>
      <c r="U105" s="42" t="s">
        <v>273</v>
      </c>
      <c r="V105" s="55">
        <v>48201312300</v>
      </c>
      <c r="W105" s="55">
        <v>127</v>
      </c>
      <c r="X105" s="37">
        <v>17</v>
      </c>
      <c r="Y105" s="37">
        <v>4</v>
      </c>
      <c r="Z105" s="37">
        <v>8</v>
      </c>
      <c r="AA105" s="37">
        <v>4</v>
      </c>
      <c r="AB105" s="37">
        <v>7</v>
      </c>
      <c r="AC105" s="37">
        <v>1</v>
      </c>
      <c r="AD105" s="37">
        <v>166</v>
      </c>
      <c r="AE105" s="7"/>
      <c r="AF105" s="42">
        <v>9780.0712550724966</v>
      </c>
      <c r="AG105" s="104" t="s">
        <v>506</v>
      </c>
      <c r="AH105" s="120" t="s">
        <v>522</v>
      </c>
      <c r="AI105" s="21" t="s">
        <v>516</v>
      </c>
      <c r="AJ105" s="21" t="s">
        <v>516</v>
      </c>
      <c r="AK105" s="128" t="s">
        <v>517</v>
      </c>
    </row>
    <row r="106" spans="1:107" s="112" customFormat="1" ht="15" x14ac:dyDescent="0.25">
      <c r="A106" s="105">
        <v>25250</v>
      </c>
      <c r="B106" s="106" t="s">
        <v>290</v>
      </c>
      <c r="C106" s="106" t="s">
        <v>447</v>
      </c>
      <c r="D106" s="106" t="s">
        <v>128</v>
      </c>
      <c r="E106" s="106"/>
      <c r="F106" s="106">
        <v>77083</v>
      </c>
      <c r="G106" s="106" t="s">
        <v>280</v>
      </c>
      <c r="H106" s="106">
        <v>6</v>
      </c>
      <c r="I106" s="106" t="s">
        <v>78</v>
      </c>
      <c r="J106" s="107" t="s">
        <v>480</v>
      </c>
      <c r="K106" s="107" t="s">
        <v>480</v>
      </c>
      <c r="L106" s="107" t="s">
        <v>397</v>
      </c>
      <c r="M106" s="107" t="s">
        <v>481</v>
      </c>
      <c r="N106" s="106" t="s">
        <v>118</v>
      </c>
      <c r="O106" s="106">
        <v>91</v>
      </c>
      <c r="P106" s="106">
        <v>0</v>
      </c>
      <c r="Q106" s="106">
        <v>91</v>
      </c>
      <c r="R106" s="106" t="s">
        <v>75</v>
      </c>
      <c r="S106" s="108">
        <v>2000000</v>
      </c>
      <c r="T106" s="108" t="s">
        <v>291</v>
      </c>
      <c r="U106" s="108" t="s">
        <v>292</v>
      </c>
      <c r="V106" s="109">
        <v>48157672401</v>
      </c>
      <c r="W106" s="109">
        <v>139</v>
      </c>
      <c r="X106" s="110">
        <v>17</v>
      </c>
      <c r="Y106" s="110">
        <v>4</v>
      </c>
      <c r="Z106" s="110">
        <v>8</v>
      </c>
      <c r="AA106" s="110">
        <v>4</v>
      </c>
      <c r="AB106" s="110">
        <v>0</v>
      </c>
      <c r="AC106" s="110">
        <v>1</v>
      </c>
      <c r="AD106" s="110">
        <v>173</v>
      </c>
      <c r="AE106" s="106"/>
      <c r="AF106" s="108">
        <v>5302.606797198363</v>
      </c>
      <c r="AG106" s="113" t="s">
        <v>486</v>
      </c>
      <c r="AH106" s="124"/>
      <c r="AI106" s="124"/>
      <c r="AJ106" s="124"/>
      <c r="AK106" s="124"/>
    </row>
    <row r="107" spans="1:107" s="112" customFormat="1" ht="15" x14ac:dyDescent="0.25">
      <c r="A107" s="105">
        <v>25149</v>
      </c>
      <c r="B107" s="106" t="s">
        <v>281</v>
      </c>
      <c r="C107" s="106" t="s">
        <v>282</v>
      </c>
      <c r="D107" s="106" t="s">
        <v>128</v>
      </c>
      <c r="E107" s="106"/>
      <c r="F107" s="106">
        <v>77047</v>
      </c>
      <c r="G107" s="106" t="s">
        <v>260</v>
      </c>
      <c r="H107" s="106">
        <v>6</v>
      </c>
      <c r="I107" s="106" t="s">
        <v>78</v>
      </c>
      <c r="J107" s="107" t="s">
        <v>480</v>
      </c>
      <c r="K107" s="107" t="s">
        <v>480</v>
      </c>
      <c r="L107" s="107" t="s">
        <v>480</v>
      </c>
      <c r="M107" s="107" t="s">
        <v>480</v>
      </c>
      <c r="N107" s="106" t="s">
        <v>118</v>
      </c>
      <c r="O107" s="106">
        <v>90</v>
      </c>
      <c r="P107" s="106">
        <v>0</v>
      </c>
      <c r="Q107" s="106">
        <v>90</v>
      </c>
      <c r="R107" s="106" t="s">
        <v>75</v>
      </c>
      <c r="S107" s="108">
        <v>2000000</v>
      </c>
      <c r="T107" s="108" t="s">
        <v>236</v>
      </c>
      <c r="U107" s="108" t="s">
        <v>100</v>
      </c>
      <c r="V107" s="109">
        <v>48201330902</v>
      </c>
      <c r="W107" s="109">
        <v>132</v>
      </c>
      <c r="X107" s="110">
        <v>17</v>
      </c>
      <c r="Y107" s="110">
        <v>4</v>
      </c>
      <c r="Z107" s="110">
        <v>8</v>
      </c>
      <c r="AA107" s="110">
        <v>4</v>
      </c>
      <c r="AB107" s="110">
        <v>7</v>
      </c>
      <c r="AC107" s="110">
        <v>1</v>
      </c>
      <c r="AD107" s="110">
        <v>173</v>
      </c>
      <c r="AE107" s="106"/>
      <c r="AF107" s="108">
        <v>5918.6313057575744</v>
      </c>
      <c r="AG107" s="113" t="s">
        <v>486</v>
      </c>
      <c r="AH107" s="124"/>
      <c r="AI107" s="124"/>
      <c r="AJ107" s="124"/>
      <c r="AK107" s="124"/>
    </row>
    <row r="108" spans="1:107" ht="15" customHeight="1" x14ac:dyDescent="0.25">
      <c r="A108" s="91" t="s">
        <v>24</v>
      </c>
      <c r="B108" s="15"/>
      <c r="C108" s="63">
        <v>19538182.898691386</v>
      </c>
      <c r="D108" s="77"/>
      <c r="E108" s="72"/>
      <c r="F108" s="69"/>
      <c r="G108" s="70"/>
      <c r="H108" s="72"/>
      <c r="I108" s="24"/>
      <c r="J108" s="22"/>
      <c r="K108" s="22"/>
      <c r="L108" s="22"/>
      <c r="M108" s="22"/>
      <c r="N108" s="16"/>
      <c r="O108" s="16"/>
      <c r="P108" s="16"/>
      <c r="Q108" s="16"/>
      <c r="R108" s="17" t="s">
        <v>20</v>
      </c>
      <c r="S108" s="41">
        <f>SUM(S97:S107)</f>
        <v>22000000</v>
      </c>
      <c r="T108" s="18"/>
      <c r="U108" s="16"/>
      <c r="V108" s="60"/>
      <c r="W108" s="16"/>
      <c r="X108" s="18"/>
      <c r="Y108" s="18"/>
      <c r="AC108" s="34"/>
      <c r="AD108" s="34"/>
      <c r="AE108"/>
      <c r="AF108" s="38"/>
      <c r="AG108" s="87"/>
      <c r="AH108" s="120"/>
      <c r="AI108" s="120"/>
      <c r="AJ108" s="120"/>
      <c r="AK108" s="120"/>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row>
    <row r="109" spans="1:107" ht="15" customHeight="1" x14ac:dyDescent="0.25">
      <c r="A109" s="91"/>
      <c r="B109" s="19" t="s">
        <v>487</v>
      </c>
      <c r="C109" s="63">
        <f>C108*0.4452</f>
        <v>8698399.026497405</v>
      </c>
      <c r="D109" s="77"/>
      <c r="E109" s="72"/>
      <c r="F109" s="69"/>
      <c r="G109" s="70"/>
      <c r="H109" s="72"/>
      <c r="I109" s="24"/>
      <c r="J109" s="22"/>
      <c r="K109" s="22"/>
      <c r="L109" s="22"/>
      <c r="M109" s="22"/>
      <c r="N109" s="16"/>
      <c r="O109" s="16"/>
      <c r="P109" s="16"/>
      <c r="Q109" s="16"/>
      <c r="R109" s="17"/>
      <c r="S109" s="41"/>
      <c r="T109" s="18"/>
      <c r="U109" s="16"/>
      <c r="V109" s="60"/>
      <c r="W109" s="16"/>
      <c r="X109" s="18"/>
      <c r="Y109" s="18"/>
      <c r="AC109" s="34"/>
      <c r="AD109" s="34"/>
      <c r="AE109"/>
      <c r="AF109" s="38"/>
      <c r="AG109" s="87"/>
      <c r="AH109" s="120"/>
      <c r="AI109" s="120"/>
      <c r="AJ109" s="120"/>
      <c r="AK109" s="120"/>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row>
    <row r="110" spans="1:107" ht="15" customHeight="1" x14ac:dyDescent="0.25">
      <c r="C110" s="35"/>
      <c r="D110" s="13"/>
      <c r="E110" s="69"/>
      <c r="F110" s="69"/>
      <c r="G110" s="13"/>
      <c r="H110" s="69"/>
      <c r="AH110" s="120"/>
      <c r="AI110" s="120"/>
      <c r="AJ110" s="120"/>
      <c r="AK110" s="120"/>
    </row>
    <row r="111" spans="1:107" ht="15" customHeight="1" x14ac:dyDescent="0.25">
      <c r="A111" s="92" t="s">
        <v>41</v>
      </c>
      <c r="C111" s="35"/>
      <c r="D111" s="13"/>
      <c r="E111" s="69"/>
      <c r="F111" s="69"/>
      <c r="G111" s="13"/>
      <c r="H111" s="69"/>
      <c r="AH111" s="120"/>
      <c r="AI111" s="120"/>
      <c r="AJ111" s="120"/>
      <c r="AK111" s="120"/>
    </row>
    <row r="112" spans="1:107" customFormat="1" ht="15" x14ac:dyDescent="0.25">
      <c r="A112" s="8">
        <v>25201</v>
      </c>
      <c r="B112" s="7" t="s">
        <v>293</v>
      </c>
      <c r="C112" s="7" t="s">
        <v>448</v>
      </c>
      <c r="D112" s="7" t="s">
        <v>294</v>
      </c>
      <c r="E112" s="13"/>
      <c r="F112" s="7">
        <v>78602</v>
      </c>
      <c r="G112" s="7" t="s">
        <v>294</v>
      </c>
      <c r="H112" s="7">
        <v>7</v>
      </c>
      <c r="I112" s="7" t="s">
        <v>71</v>
      </c>
      <c r="J112" s="21" t="s">
        <v>480</v>
      </c>
      <c r="K112" s="21" t="s">
        <v>480</v>
      </c>
      <c r="L112" s="21" t="s">
        <v>480</v>
      </c>
      <c r="M112" s="21" t="s">
        <v>481</v>
      </c>
      <c r="N112" s="7" t="s">
        <v>118</v>
      </c>
      <c r="O112" s="7">
        <v>52</v>
      </c>
      <c r="P112" s="7">
        <v>0</v>
      </c>
      <c r="Q112" s="7">
        <v>52</v>
      </c>
      <c r="R112" s="7" t="s">
        <v>72</v>
      </c>
      <c r="S112" s="42">
        <v>1125000</v>
      </c>
      <c r="T112" s="42" t="s">
        <v>159</v>
      </c>
      <c r="U112" s="42" t="s">
        <v>160</v>
      </c>
      <c r="V112" s="55">
        <v>48021950403</v>
      </c>
      <c r="W112" s="55">
        <v>135</v>
      </c>
      <c r="X112" s="37">
        <v>17</v>
      </c>
      <c r="Y112" s="37">
        <v>4</v>
      </c>
      <c r="Z112" s="37">
        <v>8</v>
      </c>
      <c r="AA112" s="37">
        <v>4</v>
      </c>
      <c r="AB112" s="37">
        <v>0</v>
      </c>
      <c r="AC112" s="37">
        <v>1</v>
      </c>
      <c r="AD112" s="37">
        <v>169</v>
      </c>
      <c r="AE112" s="7"/>
      <c r="AF112" s="42">
        <v>5499.9017738152661</v>
      </c>
      <c r="AG112" s="87"/>
      <c r="AH112" s="120" t="s">
        <v>515</v>
      </c>
      <c r="AI112" s="21" t="s">
        <v>516</v>
      </c>
      <c r="AJ112" s="21" t="s">
        <v>516</v>
      </c>
      <c r="AK112" s="21" t="s">
        <v>516</v>
      </c>
    </row>
    <row r="113" spans="1:107" ht="15" customHeight="1" x14ac:dyDescent="0.25">
      <c r="A113" s="91" t="s">
        <v>24</v>
      </c>
      <c r="B113" s="15"/>
      <c r="C113" s="63">
        <v>750000</v>
      </c>
      <c r="D113" s="70"/>
      <c r="E113" s="72"/>
      <c r="F113" s="69"/>
      <c r="G113" s="70"/>
      <c r="H113" s="72"/>
      <c r="I113" s="24"/>
      <c r="J113" s="22"/>
      <c r="K113" s="22"/>
      <c r="L113" s="22"/>
      <c r="M113" s="22"/>
      <c r="N113" s="16"/>
      <c r="O113" s="16"/>
      <c r="P113" s="16"/>
      <c r="Q113" s="16"/>
      <c r="R113" s="17" t="s">
        <v>20</v>
      </c>
      <c r="S113" s="41">
        <f>SUM(S112:S112)</f>
        <v>1125000</v>
      </c>
      <c r="T113" s="18"/>
      <c r="U113" s="16"/>
      <c r="V113" s="60"/>
      <c r="W113" s="16"/>
      <c r="X113" s="18"/>
      <c r="Y113" s="18"/>
      <c r="AC113" s="34"/>
      <c r="AD113" s="34"/>
      <c r="AE113"/>
      <c r="AF113" s="38"/>
      <c r="AG113" s="87"/>
      <c r="AH113" s="120"/>
      <c r="AI113" s="120"/>
      <c r="AJ113" s="120"/>
      <c r="AK113" s="120"/>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row>
    <row r="114" spans="1:107" ht="15" customHeight="1" x14ac:dyDescent="0.25">
      <c r="C114" s="35"/>
      <c r="D114" s="13"/>
      <c r="E114" s="69"/>
      <c r="F114" s="69"/>
      <c r="G114" s="13"/>
      <c r="H114" s="69"/>
      <c r="AH114" s="120"/>
      <c r="AI114" s="120"/>
      <c r="AJ114" s="120"/>
      <c r="AK114" s="120"/>
    </row>
    <row r="115" spans="1:107" customFormat="1" ht="15" customHeight="1" x14ac:dyDescent="0.25">
      <c r="A115" s="92" t="s">
        <v>42</v>
      </c>
      <c r="B115" s="7"/>
      <c r="C115" s="35"/>
      <c r="D115" s="13"/>
      <c r="E115" s="69"/>
      <c r="F115" s="69"/>
      <c r="G115" s="13"/>
      <c r="H115" s="69"/>
      <c r="I115" s="7"/>
      <c r="J115" s="21"/>
      <c r="K115" s="21"/>
      <c r="L115" s="21"/>
      <c r="M115" s="21"/>
      <c r="N115" s="7"/>
      <c r="O115" s="7"/>
      <c r="P115" s="7"/>
      <c r="Q115" s="7"/>
      <c r="R115" s="7"/>
      <c r="S115" s="42"/>
      <c r="T115" s="7"/>
      <c r="U115" s="7"/>
      <c r="V115" s="55"/>
      <c r="W115" s="7"/>
      <c r="X115" s="8"/>
      <c r="Y115" s="8"/>
      <c r="Z115" s="8"/>
      <c r="AA115" s="35"/>
      <c r="AB115" s="35"/>
      <c r="AC115" s="34"/>
      <c r="AD115" s="34"/>
      <c r="AF115" s="38"/>
      <c r="AG115" s="87"/>
      <c r="AH115" s="120"/>
      <c r="AI115" s="120"/>
      <c r="AJ115" s="120"/>
      <c r="AK115" s="120"/>
    </row>
    <row r="116" spans="1:107" customFormat="1" ht="15" x14ac:dyDescent="0.25">
      <c r="A116" s="8">
        <v>25158</v>
      </c>
      <c r="B116" s="7" t="s">
        <v>297</v>
      </c>
      <c r="C116" s="7" t="s">
        <v>298</v>
      </c>
      <c r="D116" s="7" t="s">
        <v>112</v>
      </c>
      <c r="E116" s="13"/>
      <c r="F116" s="7">
        <v>78705</v>
      </c>
      <c r="G116" s="7" t="s">
        <v>113</v>
      </c>
      <c r="H116" s="7">
        <v>7</v>
      </c>
      <c r="I116" s="7" t="s">
        <v>78</v>
      </c>
      <c r="J116" s="21" t="s">
        <v>480</v>
      </c>
      <c r="K116" s="21" t="s">
        <v>480</v>
      </c>
      <c r="L116" s="21" t="s">
        <v>480</v>
      </c>
      <c r="M116" s="21" t="s">
        <v>480</v>
      </c>
      <c r="N116" s="7" t="s">
        <v>484</v>
      </c>
      <c r="O116" s="7">
        <v>76</v>
      </c>
      <c r="P116" s="7">
        <v>0</v>
      </c>
      <c r="Q116" s="7">
        <v>76</v>
      </c>
      <c r="R116" s="7" t="s">
        <v>75</v>
      </c>
      <c r="S116" s="42">
        <v>1990204</v>
      </c>
      <c r="T116" s="42" t="s">
        <v>212</v>
      </c>
      <c r="U116" s="42" t="s">
        <v>100</v>
      </c>
      <c r="V116" s="55">
        <v>48453000500</v>
      </c>
      <c r="W116" s="55">
        <v>135</v>
      </c>
      <c r="X116" s="37">
        <v>17</v>
      </c>
      <c r="Y116" s="37">
        <v>4</v>
      </c>
      <c r="Z116" s="37">
        <v>8</v>
      </c>
      <c r="AA116" s="37">
        <v>4</v>
      </c>
      <c r="AB116" s="37">
        <v>7</v>
      </c>
      <c r="AC116" s="37">
        <v>1</v>
      </c>
      <c r="AD116" s="37">
        <v>176</v>
      </c>
      <c r="AE116" s="7"/>
      <c r="AF116" s="42">
        <v>5119.2315093707157</v>
      </c>
      <c r="AG116" s="87" t="s">
        <v>493</v>
      </c>
      <c r="AH116" s="120" t="s">
        <v>515</v>
      </c>
      <c r="AI116" s="21" t="s">
        <v>516</v>
      </c>
      <c r="AJ116" s="21" t="s">
        <v>516</v>
      </c>
      <c r="AK116" s="21" t="s">
        <v>516</v>
      </c>
    </row>
    <row r="117" spans="1:107" customFormat="1" ht="15" x14ac:dyDescent="0.25">
      <c r="A117" s="8">
        <v>25187</v>
      </c>
      <c r="B117" s="7" t="s">
        <v>299</v>
      </c>
      <c r="C117" s="7" t="s">
        <v>449</v>
      </c>
      <c r="D117" s="7" t="s">
        <v>112</v>
      </c>
      <c r="E117" s="13"/>
      <c r="F117" s="7">
        <v>78757</v>
      </c>
      <c r="G117" s="7" t="s">
        <v>113</v>
      </c>
      <c r="H117" s="7">
        <v>7</v>
      </c>
      <c r="I117" s="7" t="s">
        <v>78</v>
      </c>
      <c r="J117" s="21" t="s">
        <v>480</v>
      </c>
      <c r="K117" s="21" t="s">
        <v>480</v>
      </c>
      <c r="L117" s="21" t="s">
        <v>397</v>
      </c>
      <c r="M117" s="21" t="s">
        <v>480</v>
      </c>
      <c r="N117" s="7" t="s">
        <v>485</v>
      </c>
      <c r="O117" s="7">
        <v>110</v>
      </c>
      <c r="P117" s="7">
        <v>0</v>
      </c>
      <c r="Q117" s="7">
        <v>110</v>
      </c>
      <c r="R117" s="7" t="s">
        <v>427</v>
      </c>
      <c r="S117" s="42">
        <v>2000000</v>
      </c>
      <c r="T117" s="42" t="s">
        <v>300</v>
      </c>
      <c r="U117" s="42" t="s">
        <v>301</v>
      </c>
      <c r="V117" s="55">
        <v>48453040400</v>
      </c>
      <c r="W117" s="55">
        <v>132</v>
      </c>
      <c r="X117" s="37">
        <v>17</v>
      </c>
      <c r="Y117" s="37">
        <v>4</v>
      </c>
      <c r="Z117" s="37">
        <v>8</v>
      </c>
      <c r="AA117" s="37">
        <v>4</v>
      </c>
      <c r="AB117" s="37">
        <v>7</v>
      </c>
      <c r="AC117" s="37">
        <v>1</v>
      </c>
      <c r="AD117" s="37">
        <v>173</v>
      </c>
      <c r="AE117" s="7"/>
      <c r="AF117" s="42">
        <v>8030.7932197103282</v>
      </c>
      <c r="AG117" s="87" t="s">
        <v>493</v>
      </c>
      <c r="AH117" s="120" t="s">
        <v>515</v>
      </c>
      <c r="AI117" s="21" t="s">
        <v>516</v>
      </c>
      <c r="AJ117" s="21" t="s">
        <v>516</v>
      </c>
      <c r="AK117" s="21" t="s">
        <v>516</v>
      </c>
    </row>
    <row r="118" spans="1:107" customFormat="1" ht="15" x14ac:dyDescent="0.25">
      <c r="A118" s="8">
        <v>25001</v>
      </c>
      <c r="B118" s="7" t="s">
        <v>295</v>
      </c>
      <c r="C118" s="7" t="s">
        <v>450</v>
      </c>
      <c r="D118" s="7" t="s">
        <v>112</v>
      </c>
      <c r="E118" s="13"/>
      <c r="F118" s="7">
        <v>78702</v>
      </c>
      <c r="G118" s="7" t="s">
        <v>113</v>
      </c>
      <c r="H118" s="7">
        <v>7</v>
      </c>
      <c r="I118" s="7" t="s">
        <v>78</v>
      </c>
      <c r="J118" s="21" t="s">
        <v>480</v>
      </c>
      <c r="K118" s="21" t="s">
        <v>480</v>
      </c>
      <c r="L118" s="21" t="s">
        <v>397</v>
      </c>
      <c r="M118" s="21" t="s">
        <v>482</v>
      </c>
      <c r="N118" s="7" t="s">
        <v>415</v>
      </c>
      <c r="O118" s="7">
        <v>96</v>
      </c>
      <c r="P118" s="7">
        <v>0</v>
      </c>
      <c r="Q118" s="7">
        <v>96</v>
      </c>
      <c r="R118" s="7" t="s">
        <v>75</v>
      </c>
      <c r="S118" s="42">
        <v>2000000</v>
      </c>
      <c r="T118" s="42" t="s">
        <v>296</v>
      </c>
      <c r="U118" s="42" t="s">
        <v>199</v>
      </c>
      <c r="V118" s="55">
        <v>48453000902</v>
      </c>
      <c r="W118" s="55">
        <v>134</v>
      </c>
      <c r="X118" s="37">
        <v>17</v>
      </c>
      <c r="Y118" s="37">
        <v>4</v>
      </c>
      <c r="Z118" s="37">
        <v>8</v>
      </c>
      <c r="AA118" s="37">
        <v>4</v>
      </c>
      <c r="AB118" s="37">
        <v>0</v>
      </c>
      <c r="AC118" s="37">
        <v>1</v>
      </c>
      <c r="AD118" s="37">
        <v>168</v>
      </c>
      <c r="AE118" s="7"/>
      <c r="AF118" s="42">
        <v>0</v>
      </c>
      <c r="AG118" s="87" t="s">
        <v>493</v>
      </c>
      <c r="AH118" s="120" t="s">
        <v>515</v>
      </c>
      <c r="AI118" s="21" t="s">
        <v>516</v>
      </c>
      <c r="AJ118" s="21" t="s">
        <v>516</v>
      </c>
      <c r="AK118" s="21" t="s">
        <v>516</v>
      </c>
    </row>
    <row r="119" spans="1:107" ht="15" customHeight="1" x14ac:dyDescent="0.25">
      <c r="A119" s="91" t="s">
        <v>24</v>
      </c>
      <c r="B119" s="15"/>
      <c r="C119" s="63">
        <v>6255739.6982463878</v>
      </c>
      <c r="D119" s="77"/>
      <c r="E119" s="72"/>
      <c r="F119" s="69"/>
      <c r="G119" s="70"/>
      <c r="H119" s="72"/>
      <c r="I119" s="24"/>
      <c r="J119" s="22"/>
      <c r="K119" s="22"/>
      <c r="L119" s="22"/>
      <c r="M119" s="22"/>
      <c r="N119" s="16"/>
      <c r="O119" s="16"/>
      <c r="P119" s="16"/>
      <c r="Q119" s="16"/>
      <c r="R119" s="17" t="s">
        <v>20</v>
      </c>
      <c r="S119" s="41">
        <f>SUM(S116:S118)</f>
        <v>5990204</v>
      </c>
      <c r="T119" s="18"/>
      <c r="U119" s="16"/>
      <c r="V119" s="60"/>
      <c r="W119" s="16"/>
      <c r="X119" s="18"/>
      <c r="Y119" s="18"/>
      <c r="AC119" s="34"/>
      <c r="AD119" s="34"/>
      <c r="AE119"/>
      <c r="AF119" s="38"/>
      <c r="AG119" s="87"/>
      <c r="AH119" s="120"/>
      <c r="AI119" s="120"/>
      <c r="AJ119" s="120"/>
      <c r="AK119" s="120"/>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row>
    <row r="120" spans="1:107" ht="15" customHeight="1" x14ac:dyDescent="0.25">
      <c r="A120" s="91"/>
      <c r="B120" s="19" t="s">
        <v>487</v>
      </c>
      <c r="C120" s="63">
        <f>C119*0.4015</f>
        <v>2511679.4888459248</v>
      </c>
      <c r="D120" s="77"/>
      <c r="E120" s="72"/>
      <c r="F120" s="69"/>
      <c r="G120" s="70"/>
      <c r="H120" s="72"/>
      <c r="I120" s="24"/>
      <c r="J120" s="22"/>
      <c r="K120" s="22"/>
      <c r="L120" s="22"/>
      <c r="M120" s="22"/>
      <c r="N120" s="16"/>
      <c r="O120" s="16"/>
      <c r="P120" s="16"/>
      <c r="Q120" s="16"/>
      <c r="R120" s="17"/>
      <c r="S120" s="41"/>
      <c r="T120" s="18"/>
      <c r="U120" s="16"/>
      <c r="V120" s="60"/>
      <c r="W120" s="16"/>
      <c r="X120" s="18"/>
      <c r="Y120" s="18"/>
      <c r="AC120" s="34"/>
      <c r="AD120" s="34"/>
      <c r="AE120"/>
      <c r="AF120" s="38"/>
      <c r="AG120" s="87"/>
      <c r="AH120" s="120"/>
      <c r="AI120" s="120"/>
      <c r="AJ120" s="120"/>
      <c r="AK120" s="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row>
    <row r="121" spans="1:107" ht="15" customHeight="1" x14ac:dyDescent="0.25">
      <c r="C121" s="35"/>
      <c r="D121" s="13"/>
      <c r="E121" s="69"/>
      <c r="F121" s="69"/>
      <c r="G121" s="13"/>
      <c r="H121" s="69"/>
      <c r="AH121" s="120"/>
      <c r="AI121" s="120"/>
      <c r="AJ121" s="120"/>
      <c r="AK121" s="120"/>
    </row>
    <row r="122" spans="1:107" customFormat="1" ht="15" customHeight="1" x14ac:dyDescent="0.25">
      <c r="A122" s="92" t="s">
        <v>43</v>
      </c>
      <c r="B122" s="7"/>
      <c r="C122" s="35"/>
      <c r="D122" s="13"/>
      <c r="E122" s="69"/>
      <c r="F122" s="69"/>
      <c r="G122" s="13"/>
      <c r="H122" s="69"/>
      <c r="I122" s="7"/>
      <c r="J122" s="21"/>
      <c r="K122" s="21"/>
      <c r="L122" s="21"/>
      <c r="M122" s="21"/>
      <c r="N122" s="7"/>
      <c r="O122" s="7"/>
      <c r="P122" s="7"/>
      <c r="Q122" s="7"/>
      <c r="R122" s="7"/>
      <c r="S122" s="42"/>
      <c r="T122" s="7"/>
      <c r="U122" s="7"/>
      <c r="V122" s="55"/>
      <c r="W122" s="7"/>
      <c r="X122" s="8"/>
      <c r="Y122" s="8"/>
      <c r="Z122" s="8"/>
      <c r="AA122" s="35"/>
      <c r="AB122" s="35"/>
      <c r="AC122" s="34"/>
      <c r="AD122" s="34"/>
      <c r="AF122" s="38"/>
      <c r="AG122" s="87"/>
      <c r="AH122" s="120"/>
      <c r="AI122" s="120"/>
      <c r="AJ122" s="120"/>
      <c r="AK122" s="120"/>
    </row>
    <row r="123" spans="1:107" customFormat="1" ht="15" x14ac:dyDescent="0.25">
      <c r="A123" s="8">
        <v>25157</v>
      </c>
      <c r="B123" s="7" t="s">
        <v>306</v>
      </c>
      <c r="C123" s="7" t="s">
        <v>307</v>
      </c>
      <c r="D123" s="7" t="s">
        <v>308</v>
      </c>
      <c r="E123" s="13" t="s">
        <v>397</v>
      </c>
      <c r="F123" s="7">
        <v>76528</v>
      </c>
      <c r="G123" s="7" t="s">
        <v>309</v>
      </c>
      <c r="H123" s="7">
        <v>8</v>
      </c>
      <c r="I123" s="7" t="s">
        <v>71</v>
      </c>
      <c r="J123" s="21" t="s">
        <v>480</v>
      </c>
      <c r="K123" s="21" t="s">
        <v>480</v>
      </c>
      <c r="L123" s="21" t="s">
        <v>480</v>
      </c>
      <c r="M123" s="21" t="s">
        <v>480</v>
      </c>
      <c r="N123" s="7" t="s">
        <v>118</v>
      </c>
      <c r="O123" s="7">
        <v>20</v>
      </c>
      <c r="P123" s="7">
        <v>0</v>
      </c>
      <c r="Q123" s="7">
        <v>20</v>
      </c>
      <c r="R123" s="7" t="s">
        <v>72</v>
      </c>
      <c r="S123" s="42">
        <v>577323.80000000005</v>
      </c>
      <c r="T123" s="42" t="s">
        <v>236</v>
      </c>
      <c r="U123" s="42" t="s">
        <v>100</v>
      </c>
      <c r="V123" s="55">
        <v>48099010202</v>
      </c>
      <c r="W123" s="55">
        <v>83</v>
      </c>
      <c r="X123" s="86">
        <v>8.5</v>
      </c>
      <c r="Y123" s="37">
        <v>4</v>
      </c>
      <c r="Z123" s="37">
        <v>8</v>
      </c>
      <c r="AA123" s="37">
        <v>4</v>
      </c>
      <c r="AB123" s="37">
        <v>0</v>
      </c>
      <c r="AC123" s="37">
        <v>0</v>
      </c>
      <c r="AD123" s="86">
        <v>107.5</v>
      </c>
      <c r="AE123" s="7"/>
      <c r="AF123" s="42">
        <v>10330.669114320606</v>
      </c>
      <c r="AG123" s="104" t="s">
        <v>506</v>
      </c>
      <c r="AH123" s="120" t="s">
        <v>515</v>
      </c>
      <c r="AI123" s="21" t="s">
        <v>516</v>
      </c>
      <c r="AJ123" s="21" t="s">
        <v>516</v>
      </c>
      <c r="AK123" s="21" t="s">
        <v>516</v>
      </c>
    </row>
    <row r="124" spans="1:107" customFormat="1" ht="15" x14ac:dyDescent="0.25">
      <c r="A124" s="8">
        <v>25155</v>
      </c>
      <c r="B124" s="7" t="s">
        <v>302</v>
      </c>
      <c r="C124" s="7" t="s">
        <v>303</v>
      </c>
      <c r="D124" s="7" t="s">
        <v>304</v>
      </c>
      <c r="E124" s="13"/>
      <c r="F124" s="7">
        <v>76645</v>
      </c>
      <c r="G124" s="7" t="s">
        <v>305</v>
      </c>
      <c r="H124" s="7">
        <v>8</v>
      </c>
      <c r="I124" s="7" t="s">
        <v>71</v>
      </c>
      <c r="J124" s="21" t="s">
        <v>480</v>
      </c>
      <c r="K124" s="21" t="s">
        <v>480</v>
      </c>
      <c r="L124" s="21" t="s">
        <v>480</v>
      </c>
      <c r="M124" s="21" t="s">
        <v>480</v>
      </c>
      <c r="N124" s="7" t="s">
        <v>118</v>
      </c>
      <c r="O124" s="7">
        <v>33</v>
      </c>
      <c r="P124" s="7">
        <v>3</v>
      </c>
      <c r="Q124" s="7">
        <v>36</v>
      </c>
      <c r="R124" s="7" t="s">
        <v>72</v>
      </c>
      <c r="S124" s="42">
        <v>1125000</v>
      </c>
      <c r="T124" s="42" t="s">
        <v>236</v>
      </c>
      <c r="U124" s="42" t="s">
        <v>100</v>
      </c>
      <c r="V124" s="55">
        <v>48217961100</v>
      </c>
      <c r="W124" s="55">
        <v>77</v>
      </c>
      <c r="X124" s="37">
        <v>17</v>
      </c>
      <c r="Y124" s="37">
        <v>4</v>
      </c>
      <c r="Z124" s="37">
        <v>8</v>
      </c>
      <c r="AA124" s="37">
        <v>0</v>
      </c>
      <c r="AB124" s="37">
        <v>0</v>
      </c>
      <c r="AC124" s="37">
        <v>0</v>
      </c>
      <c r="AD124" s="37">
        <v>106</v>
      </c>
      <c r="AE124" s="7"/>
      <c r="AF124" s="42">
        <v>19950.741926556759</v>
      </c>
      <c r="AG124" s="87"/>
      <c r="AH124" s="120" t="s">
        <v>522</v>
      </c>
      <c r="AI124" s="21" t="s">
        <v>516</v>
      </c>
      <c r="AJ124" s="21" t="s">
        <v>516</v>
      </c>
      <c r="AK124" s="128" t="s">
        <v>517</v>
      </c>
    </row>
    <row r="125" spans="1:107" ht="15" customHeight="1" x14ac:dyDescent="0.25">
      <c r="A125" s="91" t="s">
        <v>24</v>
      </c>
      <c r="B125" s="15"/>
      <c r="C125" s="63">
        <v>750000</v>
      </c>
      <c r="D125" s="70"/>
      <c r="E125" s="72"/>
      <c r="F125" s="69"/>
      <c r="G125" s="70"/>
      <c r="H125" s="72"/>
      <c r="I125" s="24"/>
      <c r="J125" s="22"/>
      <c r="K125" s="22"/>
      <c r="L125" s="22"/>
      <c r="M125" s="22"/>
      <c r="N125" s="16"/>
      <c r="O125" s="16"/>
      <c r="P125" s="16"/>
      <c r="Q125" s="16"/>
      <c r="R125" s="17" t="s">
        <v>20</v>
      </c>
      <c r="S125" s="41">
        <f>SUM(S123:S124)</f>
        <v>1702323.8</v>
      </c>
      <c r="T125" s="18"/>
      <c r="U125" s="16"/>
      <c r="V125" s="60"/>
      <c r="W125" s="16"/>
      <c r="X125" s="18"/>
      <c r="Y125" s="18"/>
      <c r="AC125" s="34"/>
      <c r="AD125" s="34"/>
      <c r="AE125"/>
      <c r="AF125" s="38"/>
      <c r="AG125" s="87"/>
      <c r="AH125" s="120"/>
      <c r="AI125" s="120"/>
      <c r="AJ125" s="120"/>
      <c r="AK125" s="120"/>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row>
    <row r="126" spans="1:107" ht="15" customHeight="1" x14ac:dyDescent="0.25">
      <c r="C126" s="35"/>
      <c r="D126" s="13"/>
      <c r="E126" s="69"/>
      <c r="F126" s="69"/>
      <c r="G126" s="13"/>
      <c r="H126" s="69"/>
      <c r="AH126" s="120"/>
      <c r="AI126" s="120"/>
      <c r="AJ126" s="120"/>
      <c r="AK126" s="120"/>
    </row>
    <row r="127" spans="1:107" customFormat="1" ht="15" customHeight="1" x14ac:dyDescent="0.25">
      <c r="A127" s="92" t="s">
        <v>44</v>
      </c>
      <c r="B127" s="7"/>
      <c r="C127" s="35"/>
      <c r="D127" s="13"/>
      <c r="E127" s="69"/>
      <c r="F127" s="69"/>
      <c r="G127" s="13"/>
      <c r="H127" s="69"/>
      <c r="I127" s="7"/>
      <c r="J127" s="21"/>
      <c r="K127" s="21"/>
      <c r="L127" s="21"/>
      <c r="M127" s="21"/>
      <c r="N127" s="7"/>
      <c r="O127" s="7"/>
      <c r="P127" s="7"/>
      <c r="Q127" s="7"/>
      <c r="R127" s="7"/>
      <c r="S127" s="42"/>
      <c r="T127" s="7"/>
      <c r="U127" s="7"/>
      <c r="V127" s="55"/>
      <c r="W127" s="7"/>
      <c r="X127" s="8"/>
      <c r="Y127" s="8"/>
      <c r="Z127" s="8"/>
      <c r="AA127" s="35"/>
      <c r="AB127" s="35"/>
      <c r="AC127" s="34"/>
      <c r="AD127" s="34"/>
      <c r="AF127" s="38"/>
      <c r="AG127" s="87"/>
      <c r="AH127" s="120"/>
      <c r="AI127" s="120"/>
      <c r="AJ127" s="120"/>
      <c r="AK127" s="120"/>
    </row>
    <row r="128" spans="1:107" customFormat="1" ht="15" x14ac:dyDescent="0.25">
      <c r="A128" s="8">
        <v>25066</v>
      </c>
      <c r="B128" s="7" t="s">
        <v>310</v>
      </c>
      <c r="C128" s="7" t="s">
        <v>311</v>
      </c>
      <c r="D128" s="7" t="s">
        <v>121</v>
      </c>
      <c r="E128" s="13"/>
      <c r="F128" s="7">
        <v>76701</v>
      </c>
      <c r="G128" s="7" t="s">
        <v>412</v>
      </c>
      <c r="H128" s="7">
        <v>8</v>
      </c>
      <c r="I128" s="7" t="s">
        <v>78</v>
      </c>
      <c r="J128" s="21" t="s">
        <v>480</v>
      </c>
      <c r="K128" s="21" t="s">
        <v>480</v>
      </c>
      <c r="L128" s="21" t="s">
        <v>480</v>
      </c>
      <c r="M128" s="21" t="s">
        <v>480</v>
      </c>
      <c r="N128" s="7" t="s">
        <v>400</v>
      </c>
      <c r="O128" s="7">
        <v>104</v>
      </c>
      <c r="P128" s="7">
        <v>0</v>
      </c>
      <c r="Q128" s="7">
        <v>104</v>
      </c>
      <c r="R128" s="7" t="s">
        <v>75</v>
      </c>
      <c r="S128" s="42">
        <v>1530000</v>
      </c>
      <c r="T128" s="42" t="s">
        <v>312</v>
      </c>
      <c r="U128" s="42" t="s">
        <v>313</v>
      </c>
      <c r="V128" s="55">
        <v>48309000100</v>
      </c>
      <c r="W128" s="55">
        <v>134</v>
      </c>
      <c r="X128" s="37">
        <v>17</v>
      </c>
      <c r="Y128" s="37">
        <v>4</v>
      </c>
      <c r="Z128" s="37">
        <v>8</v>
      </c>
      <c r="AA128" s="37">
        <v>4</v>
      </c>
      <c r="AB128" s="37">
        <v>7</v>
      </c>
      <c r="AC128" s="37">
        <v>1</v>
      </c>
      <c r="AD128" s="37">
        <v>175</v>
      </c>
      <c r="AE128" s="7"/>
      <c r="AF128" s="42">
        <v>7411.642907777551</v>
      </c>
      <c r="AG128" s="104" t="s">
        <v>506</v>
      </c>
      <c r="AH128" s="120" t="s">
        <v>515</v>
      </c>
      <c r="AI128" s="21" t="s">
        <v>516</v>
      </c>
      <c r="AJ128" s="21" t="s">
        <v>516</v>
      </c>
      <c r="AK128" s="21" t="s">
        <v>516</v>
      </c>
    </row>
    <row r="129" spans="1:107" customFormat="1" ht="15" x14ac:dyDescent="0.25">
      <c r="A129" s="8">
        <v>25217</v>
      </c>
      <c r="B129" s="7" t="s">
        <v>315</v>
      </c>
      <c r="C129" s="7" t="s">
        <v>452</v>
      </c>
      <c r="D129" s="7" t="s">
        <v>316</v>
      </c>
      <c r="E129" s="13"/>
      <c r="F129" s="7">
        <v>76706</v>
      </c>
      <c r="G129" s="7" t="s">
        <v>412</v>
      </c>
      <c r="H129" s="7">
        <v>8</v>
      </c>
      <c r="I129" s="7" t="s">
        <v>78</v>
      </c>
      <c r="J129" s="21" t="s">
        <v>480</v>
      </c>
      <c r="K129" s="21" t="s">
        <v>480</v>
      </c>
      <c r="L129" s="21" t="s">
        <v>480</v>
      </c>
      <c r="M129" s="21" t="s">
        <v>481</v>
      </c>
      <c r="N129" s="7" t="s">
        <v>118</v>
      </c>
      <c r="O129" s="7">
        <v>93</v>
      </c>
      <c r="P129" s="7">
        <v>0</v>
      </c>
      <c r="Q129" s="7">
        <v>93</v>
      </c>
      <c r="R129" s="7" t="s">
        <v>72</v>
      </c>
      <c r="S129" s="42">
        <v>2000000</v>
      </c>
      <c r="T129" s="42" t="s">
        <v>453</v>
      </c>
      <c r="U129" s="42" t="s">
        <v>246</v>
      </c>
      <c r="V129" s="55">
        <v>48309003703</v>
      </c>
      <c r="W129" s="55">
        <v>139</v>
      </c>
      <c r="X129" s="37">
        <v>17</v>
      </c>
      <c r="Y129" s="37">
        <v>4</v>
      </c>
      <c r="Z129" s="37">
        <v>8</v>
      </c>
      <c r="AA129" s="37">
        <v>4</v>
      </c>
      <c r="AB129" s="37">
        <v>0</v>
      </c>
      <c r="AC129" s="37">
        <v>1</v>
      </c>
      <c r="AD129" s="37">
        <v>173</v>
      </c>
      <c r="AE129" s="7"/>
      <c r="AF129" s="42">
        <v>2347.508493944064</v>
      </c>
      <c r="AG129" s="104" t="s">
        <v>506</v>
      </c>
      <c r="AH129" s="120" t="s">
        <v>515</v>
      </c>
      <c r="AI129" s="21" t="s">
        <v>516</v>
      </c>
      <c r="AJ129" s="21" t="s">
        <v>516</v>
      </c>
      <c r="AK129" s="21" t="s">
        <v>516</v>
      </c>
    </row>
    <row r="130" spans="1:107" customFormat="1" ht="15" x14ac:dyDescent="0.25">
      <c r="A130" s="8">
        <v>25188</v>
      </c>
      <c r="B130" s="7" t="s">
        <v>451</v>
      </c>
      <c r="C130" s="7" t="s">
        <v>314</v>
      </c>
      <c r="D130" s="7" t="s">
        <v>121</v>
      </c>
      <c r="E130" s="13"/>
      <c r="F130" s="7">
        <v>76707</v>
      </c>
      <c r="G130" s="7" t="s">
        <v>412</v>
      </c>
      <c r="H130" s="7">
        <v>8</v>
      </c>
      <c r="I130" s="7" t="s">
        <v>78</v>
      </c>
      <c r="J130" s="21" t="s">
        <v>480</v>
      </c>
      <c r="K130" s="21" t="s">
        <v>480</v>
      </c>
      <c r="L130" s="21" t="s">
        <v>480</v>
      </c>
      <c r="M130" s="21" t="s">
        <v>480</v>
      </c>
      <c r="N130" s="7" t="s">
        <v>484</v>
      </c>
      <c r="O130" s="7">
        <v>49</v>
      </c>
      <c r="P130" s="7">
        <v>0</v>
      </c>
      <c r="Q130" s="7">
        <v>49</v>
      </c>
      <c r="R130" s="7" t="s">
        <v>72</v>
      </c>
      <c r="S130" s="42">
        <v>1643278</v>
      </c>
      <c r="T130" s="42" t="s">
        <v>159</v>
      </c>
      <c r="U130" s="42" t="s">
        <v>160</v>
      </c>
      <c r="V130" s="55">
        <v>48309000700</v>
      </c>
      <c r="W130" s="55">
        <v>135</v>
      </c>
      <c r="X130" s="37">
        <v>17</v>
      </c>
      <c r="Y130" s="37">
        <v>4</v>
      </c>
      <c r="Z130" s="37">
        <v>-8</v>
      </c>
      <c r="AA130" s="37">
        <v>4</v>
      </c>
      <c r="AB130" s="37">
        <v>7</v>
      </c>
      <c r="AC130" s="37">
        <v>1</v>
      </c>
      <c r="AD130" s="37">
        <v>160</v>
      </c>
      <c r="AE130" s="7"/>
      <c r="AF130" s="42">
        <v>2760.5319029162247</v>
      </c>
      <c r="AG130" s="87"/>
      <c r="AH130" s="120"/>
      <c r="AI130" s="120"/>
      <c r="AJ130" s="120"/>
      <c r="AK130" s="120"/>
    </row>
    <row r="131" spans="1:107" ht="15" customHeight="1" x14ac:dyDescent="0.25">
      <c r="A131" s="91" t="s">
        <v>24</v>
      </c>
      <c r="B131" s="15"/>
      <c r="C131" s="63">
        <v>3193278.5354541927</v>
      </c>
      <c r="D131" s="70"/>
      <c r="E131" s="72"/>
      <c r="F131" s="69"/>
      <c r="G131" s="70"/>
      <c r="H131" s="72"/>
      <c r="I131" s="24"/>
      <c r="J131" s="22"/>
      <c r="K131" s="22"/>
      <c r="L131" s="22"/>
      <c r="M131" s="22"/>
      <c r="N131" s="16"/>
      <c r="O131" s="16"/>
      <c r="P131" s="16"/>
      <c r="Q131" s="16"/>
      <c r="R131" s="17" t="s">
        <v>20</v>
      </c>
      <c r="S131" s="41">
        <f>SUM(S128:S130)</f>
        <v>5173278</v>
      </c>
      <c r="T131" s="18"/>
      <c r="U131" s="16"/>
      <c r="V131" s="60"/>
      <c r="W131" s="16"/>
      <c r="X131" s="18"/>
      <c r="Y131" s="18"/>
      <c r="AC131" s="34"/>
      <c r="AD131" s="34"/>
      <c r="AE131"/>
      <c r="AF131" s="38"/>
      <c r="AG131" s="87"/>
      <c r="AH131" s="120"/>
      <c r="AI131" s="120"/>
      <c r="AJ131" s="120"/>
      <c r="AK131" s="120"/>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row>
    <row r="132" spans="1:107" ht="15" customHeight="1" x14ac:dyDescent="0.25">
      <c r="C132" s="35"/>
      <c r="D132" s="13"/>
      <c r="E132" s="69"/>
      <c r="F132" s="69"/>
      <c r="G132" s="13"/>
      <c r="H132" s="69"/>
      <c r="AH132" s="120"/>
      <c r="AI132" s="120"/>
      <c r="AJ132" s="120"/>
      <c r="AK132" s="120"/>
    </row>
    <row r="133" spans="1:107" ht="15" customHeight="1" x14ac:dyDescent="0.25">
      <c r="A133" s="92" t="s">
        <v>45</v>
      </c>
      <c r="C133" s="35"/>
      <c r="D133" s="13"/>
      <c r="E133" s="69"/>
      <c r="F133" s="69"/>
      <c r="G133" s="13"/>
      <c r="H133" s="69"/>
      <c r="AH133" s="120"/>
      <c r="AI133" s="120"/>
      <c r="AJ133" s="120"/>
      <c r="AK133" s="120"/>
    </row>
    <row r="134" spans="1:107" customFormat="1" ht="15" x14ac:dyDescent="0.25">
      <c r="A134" s="8">
        <v>25060</v>
      </c>
      <c r="B134" s="7" t="s">
        <v>317</v>
      </c>
      <c r="C134" s="7" t="s">
        <v>318</v>
      </c>
      <c r="D134" s="7" t="s">
        <v>319</v>
      </c>
      <c r="E134" s="13"/>
      <c r="F134" s="7">
        <v>78064</v>
      </c>
      <c r="G134" s="7" t="s">
        <v>320</v>
      </c>
      <c r="H134" s="7">
        <v>9</v>
      </c>
      <c r="I134" s="7" t="s">
        <v>71</v>
      </c>
      <c r="J134" s="21" t="s">
        <v>480</v>
      </c>
      <c r="K134" s="21" t="s">
        <v>480</v>
      </c>
      <c r="L134" s="21" t="s">
        <v>480</v>
      </c>
      <c r="M134" s="21" t="s">
        <v>480</v>
      </c>
      <c r="N134" s="7" t="s">
        <v>118</v>
      </c>
      <c r="O134" s="7">
        <v>48</v>
      </c>
      <c r="P134" s="7">
        <v>0</v>
      </c>
      <c r="Q134" s="7">
        <v>48</v>
      </c>
      <c r="R134" s="7" t="s">
        <v>75</v>
      </c>
      <c r="S134" s="42">
        <v>1125000</v>
      </c>
      <c r="T134" s="42" t="s">
        <v>161</v>
      </c>
      <c r="U134" s="42" t="s">
        <v>162</v>
      </c>
      <c r="V134" s="55">
        <v>48013960102</v>
      </c>
      <c r="W134" s="55">
        <v>134</v>
      </c>
      <c r="X134" s="37">
        <v>17</v>
      </c>
      <c r="Y134" s="37">
        <v>0</v>
      </c>
      <c r="Z134" s="37">
        <v>8</v>
      </c>
      <c r="AA134" s="37">
        <v>2</v>
      </c>
      <c r="AB134" s="37">
        <v>0</v>
      </c>
      <c r="AC134" s="37">
        <v>1</v>
      </c>
      <c r="AD134" s="37">
        <v>162</v>
      </c>
      <c r="AE134" s="7"/>
      <c r="AF134" s="42">
        <v>17864.629791020987</v>
      </c>
      <c r="AG134" s="87"/>
      <c r="AH134" s="120" t="s">
        <v>515</v>
      </c>
      <c r="AI134" s="21" t="s">
        <v>516</v>
      </c>
      <c r="AJ134" s="21" t="s">
        <v>516</v>
      </c>
      <c r="AK134" s="21" t="s">
        <v>516</v>
      </c>
    </row>
    <row r="135" spans="1:107" ht="15" customHeight="1" x14ac:dyDescent="0.25">
      <c r="A135" s="91" t="s">
        <v>24</v>
      </c>
      <c r="B135" s="15"/>
      <c r="C135" s="63">
        <v>750000</v>
      </c>
      <c r="D135" s="70"/>
      <c r="E135" s="72"/>
      <c r="F135" s="69"/>
      <c r="G135" s="70"/>
      <c r="H135" s="72"/>
      <c r="I135" s="24"/>
      <c r="J135" s="22"/>
      <c r="K135" s="22"/>
      <c r="L135" s="22"/>
      <c r="M135" s="22"/>
      <c r="N135" s="16"/>
      <c r="O135" s="16"/>
      <c r="P135" s="16"/>
      <c r="Q135" s="16"/>
      <c r="R135" s="17" t="s">
        <v>20</v>
      </c>
      <c r="S135" s="41">
        <f>SUM(S134:S134)</f>
        <v>1125000</v>
      </c>
      <c r="T135" s="18"/>
      <c r="U135" s="16"/>
      <c r="V135" s="60"/>
      <c r="W135" s="16"/>
      <c r="X135" s="18"/>
      <c r="Y135" s="18"/>
      <c r="AC135" s="34"/>
      <c r="AD135" s="34"/>
      <c r="AE135"/>
      <c r="AF135" s="38"/>
      <c r="AG135" s="87"/>
      <c r="AH135" s="120"/>
      <c r="AI135" s="120"/>
      <c r="AJ135" s="120"/>
      <c r="AK135" s="120"/>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row>
    <row r="136" spans="1:107" ht="15" customHeight="1" x14ac:dyDescent="0.25">
      <c r="C136" s="35"/>
      <c r="D136" s="13"/>
      <c r="E136" s="69"/>
      <c r="F136" s="69"/>
      <c r="G136" s="13"/>
      <c r="H136" s="69"/>
      <c r="AH136" s="120"/>
      <c r="AI136" s="120"/>
      <c r="AJ136" s="120"/>
      <c r="AK136" s="120"/>
    </row>
    <row r="137" spans="1:107" customFormat="1" ht="15" customHeight="1" x14ac:dyDescent="0.25">
      <c r="A137" s="92" t="s">
        <v>46</v>
      </c>
      <c r="B137" s="7"/>
      <c r="C137" s="35"/>
      <c r="D137" s="13"/>
      <c r="E137" s="69"/>
      <c r="F137" s="69"/>
      <c r="G137" s="13"/>
      <c r="H137" s="69"/>
      <c r="I137" s="7"/>
      <c r="J137" s="21"/>
      <c r="K137" s="21"/>
      <c r="L137" s="21"/>
      <c r="M137" s="21"/>
      <c r="N137" s="7"/>
      <c r="O137" s="7"/>
      <c r="P137" s="7"/>
      <c r="Q137" s="7"/>
      <c r="R137" s="7"/>
      <c r="S137" s="42"/>
      <c r="T137" s="7"/>
      <c r="U137" s="7"/>
      <c r="V137" s="55"/>
      <c r="W137" s="7"/>
      <c r="X137" s="8"/>
      <c r="Y137" s="8"/>
      <c r="Z137" s="8"/>
      <c r="AA137" s="35"/>
      <c r="AB137" s="35"/>
      <c r="AC137" s="34"/>
      <c r="AD137" s="34"/>
      <c r="AF137" s="38"/>
      <c r="AG137" s="87"/>
      <c r="AH137" s="120"/>
      <c r="AI137" s="120"/>
      <c r="AJ137" s="120"/>
      <c r="AK137" s="120"/>
    </row>
    <row r="138" spans="1:107" customFormat="1" ht="15" x14ac:dyDescent="0.25">
      <c r="A138" s="7">
        <v>25112</v>
      </c>
      <c r="B138" s="7" t="s">
        <v>334</v>
      </c>
      <c r="C138" s="7" t="s">
        <v>454</v>
      </c>
      <c r="D138" s="7" t="s">
        <v>323</v>
      </c>
      <c r="E138" s="7"/>
      <c r="F138" s="7">
        <v>78227</v>
      </c>
      <c r="G138" s="7" t="s">
        <v>324</v>
      </c>
      <c r="H138" s="7">
        <v>9</v>
      </c>
      <c r="I138" s="7" t="s">
        <v>78</v>
      </c>
      <c r="J138" s="21" t="s">
        <v>480</v>
      </c>
      <c r="K138" s="21" t="s">
        <v>480</v>
      </c>
      <c r="L138" s="21" t="s">
        <v>480</v>
      </c>
      <c r="M138" s="21" t="s">
        <v>480</v>
      </c>
      <c r="N138" s="7" t="s">
        <v>118</v>
      </c>
      <c r="O138" s="7">
        <v>86</v>
      </c>
      <c r="P138" s="7">
        <v>0</v>
      </c>
      <c r="Q138" s="7">
        <v>86</v>
      </c>
      <c r="R138" s="7" t="s">
        <v>72</v>
      </c>
      <c r="S138" s="42">
        <v>2000000</v>
      </c>
      <c r="T138" s="42" t="s">
        <v>185</v>
      </c>
      <c r="U138" s="42" t="s">
        <v>204</v>
      </c>
      <c r="V138" s="55">
        <v>48029161802</v>
      </c>
      <c r="W138" s="55">
        <v>132</v>
      </c>
      <c r="X138" s="37">
        <v>17</v>
      </c>
      <c r="Y138" s="37">
        <v>4</v>
      </c>
      <c r="Z138" s="37">
        <v>8</v>
      </c>
      <c r="AA138" s="37">
        <v>4</v>
      </c>
      <c r="AB138" s="37">
        <v>7</v>
      </c>
      <c r="AC138" s="37">
        <v>1</v>
      </c>
      <c r="AD138" s="37">
        <v>173</v>
      </c>
      <c r="AE138" s="7"/>
      <c r="AF138" s="42">
        <v>564.12038472632321</v>
      </c>
      <c r="AG138" s="104" t="s">
        <v>506</v>
      </c>
      <c r="AH138" s="120" t="s">
        <v>515</v>
      </c>
      <c r="AI138" s="21" t="s">
        <v>516</v>
      </c>
      <c r="AJ138" s="21" t="s">
        <v>516</v>
      </c>
      <c r="AK138" s="21" t="s">
        <v>516</v>
      </c>
    </row>
    <row r="139" spans="1:107" customFormat="1" ht="15" x14ac:dyDescent="0.25">
      <c r="A139" s="7">
        <v>25021</v>
      </c>
      <c r="B139" s="7" t="s">
        <v>321</v>
      </c>
      <c r="C139" s="7" t="s">
        <v>322</v>
      </c>
      <c r="D139" s="7" t="s">
        <v>323</v>
      </c>
      <c r="E139" s="7"/>
      <c r="F139" s="7">
        <v>78227</v>
      </c>
      <c r="G139" s="7" t="s">
        <v>324</v>
      </c>
      <c r="H139" s="7">
        <v>9</v>
      </c>
      <c r="I139" s="7" t="s">
        <v>78</v>
      </c>
      <c r="J139" s="21" t="s">
        <v>480</v>
      </c>
      <c r="K139" s="21" t="s">
        <v>480</v>
      </c>
      <c r="L139" s="21" t="s">
        <v>480</v>
      </c>
      <c r="M139" s="21" t="s">
        <v>481</v>
      </c>
      <c r="N139" s="7" t="s">
        <v>118</v>
      </c>
      <c r="O139" s="7">
        <v>78</v>
      </c>
      <c r="P139" s="7">
        <v>0</v>
      </c>
      <c r="Q139" s="7">
        <v>78</v>
      </c>
      <c r="R139" s="7" t="s">
        <v>72</v>
      </c>
      <c r="S139" s="42">
        <v>2000000</v>
      </c>
      <c r="T139" s="42" t="s">
        <v>194</v>
      </c>
      <c r="U139" s="42" t="s">
        <v>195</v>
      </c>
      <c r="V139" s="55">
        <v>48029161802</v>
      </c>
      <c r="W139" s="55">
        <v>132</v>
      </c>
      <c r="X139" s="37">
        <v>17</v>
      </c>
      <c r="Y139" s="37">
        <v>4</v>
      </c>
      <c r="Z139" s="37">
        <v>8</v>
      </c>
      <c r="AA139" s="37">
        <v>4</v>
      </c>
      <c r="AB139" s="37">
        <v>7</v>
      </c>
      <c r="AC139" s="37">
        <v>1</v>
      </c>
      <c r="AD139" s="37">
        <v>173</v>
      </c>
      <c r="AE139" s="7"/>
      <c r="AF139" s="42">
        <v>1734.7298860492092</v>
      </c>
      <c r="AG139" s="87"/>
      <c r="AH139" s="120"/>
      <c r="AI139" s="120"/>
      <c r="AJ139" s="120"/>
      <c r="AK139" s="120"/>
    </row>
    <row r="140" spans="1:107" s="112" customFormat="1" ht="15" x14ac:dyDescent="0.25">
      <c r="A140" s="7">
        <v>25070</v>
      </c>
      <c r="B140" s="7" t="s">
        <v>456</v>
      </c>
      <c r="C140" s="7" t="s">
        <v>457</v>
      </c>
      <c r="D140" s="7" t="s">
        <v>323</v>
      </c>
      <c r="E140" s="7"/>
      <c r="F140" s="7">
        <v>78227</v>
      </c>
      <c r="G140" s="7" t="s">
        <v>324</v>
      </c>
      <c r="H140" s="7">
        <v>9</v>
      </c>
      <c r="I140" s="7" t="s">
        <v>78</v>
      </c>
      <c r="J140" s="21" t="s">
        <v>480</v>
      </c>
      <c r="K140" s="21" t="s">
        <v>480</v>
      </c>
      <c r="L140" s="21" t="s">
        <v>397</v>
      </c>
      <c r="M140" s="21" t="s">
        <v>482</v>
      </c>
      <c r="N140" s="7" t="s">
        <v>118</v>
      </c>
      <c r="O140" s="7">
        <v>78</v>
      </c>
      <c r="P140" s="7">
        <v>0</v>
      </c>
      <c r="Q140" s="7">
        <v>78</v>
      </c>
      <c r="R140" s="7" t="s">
        <v>75</v>
      </c>
      <c r="S140" s="42">
        <v>2000000</v>
      </c>
      <c r="T140" s="42" t="s">
        <v>458</v>
      </c>
      <c r="U140" s="42" t="s">
        <v>459</v>
      </c>
      <c r="V140" s="55">
        <v>48029171801</v>
      </c>
      <c r="W140" s="55">
        <v>132</v>
      </c>
      <c r="X140" s="37">
        <v>17</v>
      </c>
      <c r="Y140" s="37">
        <v>4</v>
      </c>
      <c r="Z140" s="37">
        <v>8</v>
      </c>
      <c r="AA140" s="37">
        <v>4</v>
      </c>
      <c r="AB140" s="37">
        <v>7</v>
      </c>
      <c r="AC140" s="37">
        <v>1</v>
      </c>
      <c r="AD140" s="37">
        <v>173</v>
      </c>
      <c r="AE140" s="7"/>
      <c r="AF140" s="42">
        <v>2023.7111114104982</v>
      </c>
      <c r="AG140" s="104" t="s">
        <v>506</v>
      </c>
      <c r="AH140" s="120" t="s">
        <v>515</v>
      </c>
      <c r="AI140" s="21" t="s">
        <v>516</v>
      </c>
      <c r="AJ140" s="21" t="s">
        <v>516</v>
      </c>
      <c r="AK140" s="21" t="s">
        <v>516</v>
      </c>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row>
    <row r="141" spans="1:107" customFormat="1" ht="15" x14ac:dyDescent="0.25">
      <c r="A141" s="7">
        <v>25071</v>
      </c>
      <c r="B141" s="7" t="s">
        <v>328</v>
      </c>
      <c r="C141" s="7" t="s">
        <v>329</v>
      </c>
      <c r="D141" s="7" t="s">
        <v>323</v>
      </c>
      <c r="E141" s="7"/>
      <c r="F141" s="7">
        <v>78250</v>
      </c>
      <c r="G141" s="7" t="s">
        <v>324</v>
      </c>
      <c r="H141" s="7">
        <v>9</v>
      </c>
      <c r="I141" s="7" t="s">
        <v>78</v>
      </c>
      <c r="J141" s="21" t="s">
        <v>480</v>
      </c>
      <c r="K141" s="21" t="s">
        <v>480</v>
      </c>
      <c r="L141" s="21" t="s">
        <v>397</v>
      </c>
      <c r="M141" s="21" t="s">
        <v>482</v>
      </c>
      <c r="N141" s="7" t="s">
        <v>118</v>
      </c>
      <c r="O141" s="7">
        <v>78</v>
      </c>
      <c r="P141" s="7">
        <v>0</v>
      </c>
      <c r="Q141" s="7">
        <v>78</v>
      </c>
      <c r="R141" s="7" t="s">
        <v>75</v>
      </c>
      <c r="S141" s="42">
        <v>2000000</v>
      </c>
      <c r="T141" s="42" t="s">
        <v>327</v>
      </c>
      <c r="U141" s="42" t="s">
        <v>460</v>
      </c>
      <c r="V141" s="55">
        <v>48029181712</v>
      </c>
      <c r="W141" s="55">
        <v>132</v>
      </c>
      <c r="X141" s="37">
        <v>17</v>
      </c>
      <c r="Y141" s="37">
        <v>4</v>
      </c>
      <c r="Z141" s="37">
        <v>8</v>
      </c>
      <c r="AA141" s="37">
        <v>4</v>
      </c>
      <c r="AB141" s="37">
        <v>7</v>
      </c>
      <c r="AC141" s="37">
        <v>1</v>
      </c>
      <c r="AD141" s="37">
        <v>173</v>
      </c>
      <c r="AE141" s="7"/>
      <c r="AF141" s="42">
        <v>2075.6360681444849</v>
      </c>
      <c r="AG141" s="104" t="s">
        <v>506</v>
      </c>
      <c r="AH141" s="120" t="s">
        <v>522</v>
      </c>
      <c r="AI141" s="21" t="s">
        <v>516</v>
      </c>
      <c r="AJ141" s="21" t="s">
        <v>516</v>
      </c>
      <c r="AK141" s="128" t="s">
        <v>517</v>
      </c>
    </row>
    <row r="142" spans="1:107" customFormat="1" ht="15" x14ac:dyDescent="0.25">
      <c r="A142" s="7">
        <v>25027</v>
      </c>
      <c r="B142" s="7" t="s">
        <v>325</v>
      </c>
      <c r="C142" s="7" t="s">
        <v>326</v>
      </c>
      <c r="D142" s="7" t="s">
        <v>323</v>
      </c>
      <c r="E142" s="7"/>
      <c r="F142" s="7">
        <v>78242</v>
      </c>
      <c r="G142" s="7" t="s">
        <v>324</v>
      </c>
      <c r="H142" s="7">
        <v>9</v>
      </c>
      <c r="I142" s="7" t="s">
        <v>78</v>
      </c>
      <c r="J142" s="21" t="s">
        <v>480</v>
      </c>
      <c r="K142" s="21" t="s">
        <v>480</v>
      </c>
      <c r="L142" s="21" t="s">
        <v>480</v>
      </c>
      <c r="M142" s="21" t="s">
        <v>481</v>
      </c>
      <c r="N142" s="7" t="s">
        <v>118</v>
      </c>
      <c r="O142" s="7">
        <v>78</v>
      </c>
      <c r="P142" s="7">
        <v>0</v>
      </c>
      <c r="Q142" s="7">
        <v>78</v>
      </c>
      <c r="R142" s="7" t="s">
        <v>75</v>
      </c>
      <c r="S142" s="42">
        <v>2000000</v>
      </c>
      <c r="T142" s="42" t="s">
        <v>194</v>
      </c>
      <c r="U142" s="42" t="s">
        <v>195</v>
      </c>
      <c r="V142" s="55">
        <v>48029161303</v>
      </c>
      <c r="W142" s="55">
        <v>132</v>
      </c>
      <c r="X142" s="37">
        <v>17</v>
      </c>
      <c r="Y142" s="37">
        <v>4</v>
      </c>
      <c r="Z142" s="37">
        <v>8</v>
      </c>
      <c r="AA142" s="37">
        <v>4</v>
      </c>
      <c r="AB142" s="37">
        <v>7</v>
      </c>
      <c r="AC142" s="37">
        <v>1</v>
      </c>
      <c r="AD142" s="37">
        <v>173</v>
      </c>
      <c r="AE142" s="7"/>
      <c r="AF142" s="42">
        <v>2207.0181572509482</v>
      </c>
      <c r="AG142" s="87"/>
      <c r="AH142" s="120"/>
      <c r="AI142" s="120"/>
      <c r="AJ142" s="120"/>
      <c r="AK142" s="120"/>
    </row>
    <row r="143" spans="1:107" customFormat="1" ht="15" x14ac:dyDescent="0.25">
      <c r="A143" s="7">
        <v>25097</v>
      </c>
      <c r="B143" s="7" t="s">
        <v>332</v>
      </c>
      <c r="C143" s="7" t="s">
        <v>461</v>
      </c>
      <c r="D143" s="7" t="s">
        <v>323</v>
      </c>
      <c r="E143" s="7"/>
      <c r="F143" s="7">
        <v>78245</v>
      </c>
      <c r="G143" s="7" t="s">
        <v>324</v>
      </c>
      <c r="H143" s="7">
        <v>9</v>
      </c>
      <c r="I143" s="7" t="s">
        <v>78</v>
      </c>
      <c r="J143" s="21" t="s">
        <v>480</v>
      </c>
      <c r="K143" s="21" t="s">
        <v>480</v>
      </c>
      <c r="L143" s="21" t="s">
        <v>397</v>
      </c>
      <c r="M143" s="21" t="s">
        <v>480</v>
      </c>
      <c r="N143" s="7" t="s">
        <v>118</v>
      </c>
      <c r="O143" s="7">
        <v>78</v>
      </c>
      <c r="P143" s="7">
        <v>0</v>
      </c>
      <c r="Q143" s="7">
        <v>78</v>
      </c>
      <c r="R143" s="7" t="s">
        <v>75</v>
      </c>
      <c r="S143" s="42">
        <v>2000000</v>
      </c>
      <c r="T143" s="42" t="s">
        <v>330</v>
      </c>
      <c r="U143" s="42" t="s">
        <v>331</v>
      </c>
      <c r="V143" s="55">
        <v>48029171920</v>
      </c>
      <c r="W143" s="55">
        <v>139</v>
      </c>
      <c r="X143" s="37">
        <v>17</v>
      </c>
      <c r="Y143" s="37">
        <v>4</v>
      </c>
      <c r="Z143" s="37">
        <v>8</v>
      </c>
      <c r="AA143" s="37">
        <v>4</v>
      </c>
      <c r="AB143" s="37">
        <v>0</v>
      </c>
      <c r="AC143" s="37">
        <v>1</v>
      </c>
      <c r="AD143" s="37">
        <v>173</v>
      </c>
      <c r="AE143" s="7"/>
      <c r="AF143" s="42">
        <v>2436.9853209858247</v>
      </c>
      <c r="AG143" s="87"/>
      <c r="AH143" s="120"/>
      <c r="AI143" s="120"/>
      <c r="AJ143" s="120"/>
      <c r="AK143" s="120"/>
    </row>
    <row r="144" spans="1:107" customFormat="1" ht="15" x14ac:dyDescent="0.25">
      <c r="A144" s="7">
        <v>25100</v>
      </c>
      <c r="B144" s="7" t="s">
        <v>333</v>
      </c>
      <c r="C144" s="7" t="s">
        <v>462</v>
      </c>
      <c r="D144" s="7" t="s">
        <v>323</v>
      </c>
      <c r="E144" s="7"/>
      <c r="F144" s="7">
        <v>78233</v>
      </c>
      <c r="G144" s="7" t="s">
        <v>324</v>
      </c>
      <c r="H144" s="7">
        <v>9</v>
      </c>
      <c r="I144" s="7" t="s">
        <v>78</v>
      </c>
      <c r="J144" s="21" t="s">
        <v>480</v>
      </c>
      <c r="K144" s="21" t="s">
        <v>480</v>
      </c>
      <c r="L144" s="21" t="s">
        <v>397</v>
      </c>
      <c r="M144" s="21" t="s">
        <v>480</v>
      </c>
      <c r="N144" s="7" t="s">
        <v>118</v>
      </c>
      <c r="O144" s="7">
        <v>78</v>
      </c>
      <c r="P144" s="7">
        <v>0</v>
      </c>
      <c r="Q144" s="7">
        <v>78</v>
      </c>
      <c r="R144" s="7" t="s">
        <v>75</v>
      </c>
      <c r="S144" s="42">
        <v>2000000</v>
      </c>
      <c r="T144" s="42" t="s">
        <v>330</v>
      </c>
      <c r="U144" s="42" t="s">
        <v>331</v>
      </c>
      <c r="V144" s="55">
        <v>48029121206</v>
      </c>
      <c r="W144" s="55">
        <v>132</v>
      </c>
      <c r="X144" s="37">
        <v>17</v>
      </c>
      <c r="Y144" s="37">
        <v>4</v>
      </c>
      <c r="Z144" s="37">
        <v>8</v>
      </c>
      <c r="AA144" s="37">
        <v>4</v>
      </c>
      <c r="AB144" s="37">
        <v>7</v>
      </c>
      <c r="AC144" s="37">
        <v>1</v>
      </c>
      <c r="AD144" s="37">
        <v>173</v>
      </c>
      <c r="AE144" s="7"/>
      <c r="AF144" s="42">
        <v>3112.577198651662</v>
      </c>
      <c r="AG144" s="87"/>
      <c r="AH144" s="120"/>
      <c r="AI144" s="120"/>
      <c r="AJ144" s="120"/>
      <c r="AK144" s="120"/>
    </row>
    <row r="145" spans="1:107" customFormat="1" ht="15" x14ac:dyDescent="0.25">
      <c r="A145" s="7">
        <v>25238</v>
      </c>
      <c r="B145" s="7" t="s">
        <v>339</v>
      </c>
      <c r="C145" s="7" t="s">
        <v>463</v>
      </c>
      <c r="D145" s="7" t="s">
        <v>323</v>
      </c>
      <c r="E145" s="7"/>
      <c r="F145" s="7">
        <v>78242</v>
      </c>
      <c r="G145" s="7" t="s">
        <v>324</v>
      </c>
      <c r="H145" s="7">
        <v>9</v>
      </c>
      <c r="I145" s="7" t="s">
        <v>78</v>
      </c>
      <c r="J145" s="21" t="s">
        <v>480</v>
      </c>
      <c r="K145" s="21" t="s">
        <v>480</v>
      </c>
      <c r="L145" s="21" t="s">
        <v>397</v>
      </c>
      <c r="M145" s="21" t="s">
        <v>480</v>
      </c>
      <c r="N145" s="7" t="s">
        <v>118</v>
      </c>
      <c r="O145" s="7">
        <v>78</v>
      </c>
      <c r="P145" s="7">
        <v>0</v>
      </c>
      <c r="Q145" s="7">
        <v>78</v>
      </c>
      <c r="R145" s="7" t="s">
        <v>75</v>
      </c>
      <c r="S145" s="42">
        <v>2000000</v>
      </c>
      <c r="T145" s="42" t="s">
        <v>330</v>
      </c>
      <c r="U145" s="42" t="s">
        <v>331</v>
      </c>
      <c r="V145" s="55">
        <v>48029161504</v>
      </c>
      <c r="W145" s="55">
        <v>132</v>
      </c>
      <c r="X145" s="37">
        <v>17</v>
      </c>
      <c r="Y145" s="37">
        <v>4</v>
      </c>
      <c r="Z145" s="37">
        <v>8</v>
      </c>
      <c r="AA145" s="37">
        <v>4</v>
      </c>
      <c r="AB145" s="37">
        <v>7</v>
      </c>
      <c r="AC145" s="37">
        <v>1</v>
      </c>
      <c r="AD145" s="37">
        <v>173</v>
      </c>
      <c r="AE145" s="7"/>
      <c r="AF145" s="42">
        <v>12716.886520995413</v>
      </c>
      <c r="AG145" s="87"/>
      <c r="AH145" s="120"/>
      <c r="AI145" s="120"/>
      <c r="AJ145" s="120"/>
      <c r="AK145" s="120"/>
    </row>
    <row r="146" spans="1:107" customFormat="1" ht="15" x14ac:dyDescent="0.25">
      <c r="A146" s="7">
        <v>25193</v>
      </c>
      <c r="B146" s="7" t="s">
        <v>335</v>
      </c>
      <c r="C146" s="7" t="s">
        <v>464</v>
      </c>
      <c r="D146" s="7" t="s">
        <v>323</v>
      </c>
      <c r="E146" s="7"/>
      <c r="F146" s="7">
        <v>78224</v>
      </c>
      <c r="G146" s="7" t="s">
        <v>324</v>
      </c>
      <c r="H146" s="7">
        <v>9</v>
      </c>
      <c r="I146" s="7" t="s">
        <v>78</v>
      </c>
      <c r="J146" s="21" t="s">
        <v>480</v>
      </c>
      <c r="K146" s="21" t="s">
        <v>480</v>
      </c>
      <c r="L146" s="21" t="s">
        <v>397</v>
      </c>
      <c r="M146" s="21" t="s">
        <v>480</v>
      </c>
      <c r="N146" s="7" t="s">
        <v>118</v>
      </c>
      <c r="O146" s="7">
        <v>90</v>
      </c>
      <c r="P146" s="7">
        <v>0</v>
      </c>
      <c r="Q146" s="7">
        <v>90</v>
      </c>
      <c r="R146" s="7" t="s">
        <v>72</v>
      </c>
      <c r="S146" s="42">
        <v>2000000</v>
      </c>
      <c r="T146" s="42" t="s">
        <v>336</v>
      </c>
      <c r="U146" s="42" t="s">
        <v>337</v>
      </c>
      <c r="V146" s="55">
        <v>48029152000</v>
      </c>
      <c r="W146" s="55">
        <v>132</v>
      </c>
      <c r="X146" s="37">
        <v>17</v>
      </c>
      <c r="Y146" s="37">
        <v>4</v>
      </c>
      <c r="Z146" s="37">
        <v>8</v>
      </c>
      <c r="AA146" s="37">
        <v>4</v>
      </c>
      <c r="AB146" s="37">
        <v>7</v>
      </c>
      <c r="AC146" s="37">
        <v>1</v>
      </c>
      <c r="AD146" s="37">
        <v>173</v>
      </c>
      <c r="AE146" s="7"/>
      <c r="AF146" s="42">
        <v>16049.251162799064</v>
      </c>
      <c r="AG146" s="87"/>
      <c r="AH146" s="120"/>
      <c r="AI146" s="120"/>
      <c r="AJ146" s="120"/>
      <c r="AK146" s="120"/>
    </row>
    <row r="147" spans="1:107" s="112" customFormat="1" ht="15" x14ac:dyDescent="0.25">
      <c r="A147" s="106">
        <v>25210</v>
      </c>
      <c r="B147" s="106" t="s">
        <v>338</v>
      </c>
      <c r="C147" s="106" t="s">
        <v>455</v>
      </c>
      <c r="D147" s="106" t="s">
        <v>323</v>
      </c>
      <c r="E147" s="106"/>
      <c r="F147" s="106">
        <v>78251</v>
      </c>
      <c r="G147" s="106" t="s">
        <v>324</v>
      </c>
      <c r="H147" s="106">
        <v>9</v>
      </c>
      <c r="I147" s="106" t="s">
        <v>78</v>
      </c>
      <c r="J147" s="107" t="s">
        <v>480</v>
      </c>
      <c r="K147" s="107" t="s">
        <v>480</v>
      </c>
      <c r="L147" s="107" t="s">
        <v>480</v>
      </c>
      <c r="M147" s="107" t="s">
        <v>481</v>
      </c>
      <c r="N147" s="106" t="s">
        <v>118</v>
      </c>
      <c r="O147" s="106">
        <v>86</v>
      </c>
      <c r="P147" s="106">
        <v>0</v>
      </c>
      <c r="Q147" s="106">
        <v>86</v>
      </c>
      <c r="R147" s="106" t="s">
        <v>75</v>
      </c>
      <c r="S147" s="108">
        <v>2000000</v>
      </c>
      <c r="T147" s="108" t="s">
        <v>227</v>
      </c>
      <c r="U147" s="108" t="s">
        <v>431</v>
      </c>
      <c r="V147" s="109">
        <v>48029171928</v>
      </c>
      <c r="W147" s="109">
        <v>139</v>
      </c>
      <c r="X147" s="110">
        <v>17</v>
      </c>
      <c r="Y147" s="110">
        <v>4</v>
      </c>
      <c r="Z147" s="110">
        <v>8</v>
      </c>
      <c r="AA147" s="110">
        <v>4</v>
      </c>
      <c r="AB147" s="110">
        <v>0</v>
      </c>
      <c r="AC147" s="110">
        <v>1</v>
      </c>
      <c r="AD147" s="110">
        <v>173</v>
      </c>
      <c r="AE147" s="106"/>
      <c r="AF147" s="108">
        <v>1880.4002240104874</v>
      </c>
      <c r="AG147" s="113" t="s">
        <v>509</v>
      </c>
      <c r="AH147" s="124"/>
      <c r="AI147" s="124"/>
      <c r="AJ147" s="124"/>
      <c r="AK147" s="124"/>
    </row>
    <row r="148" spans="1:107" ht="15" customHeight="1" x14ac:dyDescent="0.25">
      <c r="A148" s="91" t="s">
        <v>24</v>
      </c>
      <c r="B148" s="15"/>
      <c r="C148" s="63">
        <v>6893850.6540124957</v>
      </c>
      <c r="D148" s="77"/>
      <c r="E148" s="72"/>
      <c r="F148" s="69"/>
      <c r="G148" s="70"/>
      <c r="H148" s="72"/>
      <c r="I148" s="24"/>
      <c r="J148" s="22"/>
      <c r="K148" s="22"/>
      <c r="L148" s="22"/>
      <c r="M148" s="22"/>
      <c r="N148" s="16"/>
      <c r="O148" s="16"/>
      <c r="P148" s="16"/>
      <c r="Q148" s="16"/>
      <c r="R148" s="17" t="s">
        <v>20</v>
      </c>
      <c r="S148" s="41">
        <f>SUM(S138:S147)</f>
        <v>20000000</v>
      </c>
      <c r="T148" s="18"/>
      <c r="U148" s="16"/>
      <c r="V148" s="60"/>
      <c r="W148" s="16"/>
      <c r="X148" s="18"/>
      <c r="Y148" s="18"/>
      <c r="AC148" s="34"/>
      <c r="AD148" s="34"/>
      <c r="AE148"/>
      <c r="AF148" s="38"/>
      <c r="AG148" s="87"/>
      <c r="AH148" s="120"/>
      <c r="AI148" s="120"/>
      <c r="AJ148" s="120"/>
      <c r="AK148" s="120"/>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row>
    <row r="149" spans="1:107" ht="15" customHeight="1" x14ac:dyDescent="0.25">
      <c r="A149" s="91"/>
      <c r="B149" s="19" t="s">
        <v>488</v>
      </c>
      <c r="C149" s="63">
        <f>C148*0.4629</f>
        <v>3191163.4677423839</v>
      </c>
      <c r="D149" s="77"/>
      <c r="E149" s="72"/>
      <c r="F149" s="69"/>
      <c r="G149" s="70"/>
      <c r="H149" s="72"/>
      <c r="I149" s="24"/>
      <c r="J149" s="22"/>
      <c r="K149" s="22"/>
      <c r="L149" s="22"/>
      <c r="M149" s="22"/>
      <c r="N149" s="16"/>
      <c r="O149" s="16"/>
      <c r="P149" s="16"/>
      <c r="Q149" s="16"/>
      <c r="R149" s="17"/>
      <c r="S149" s="41"/>
      <c r="T149" s="18"/>
      <c r="U149" s="16"/>
      <c r="V149" s="60"/>
      <c r="W149" s="16"/>
      <c r="X149" s="18"/>
      <c r="Y149" s="18"/>
      <c r="AC149" s="34"/>
      <c r="AD149" s="34"/>
      <c r="AE149"/>
      <c r="AF149" s="38"/>
      <c r="AG149" s="87"/>
      <c r="AH149" s="120"/>
      <c r="AI149" s="120"/>
      <c r="AJ149" s="120"/>
      <c r="AK149" s="120"/>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row>
    <row r="150" spans="1:107" ht="15" customHeight="1" x14ac:dyDescent="0.25">
      <c r="C150" s="35"/>
      <c r="D150" s="13"/>
      <c r="E150" s="69"/>
      <c r="F150" s="69"/>
      <c r="G150" s="13"/>
      <c r="H150" s="69"/>
      <c r="AH150" s="120"/>
      <c r="AI150" s="120"/>
      <c r="AJ150" s="120"/>
      <c r="AK150" s="120"/>
    </row>
    <row r="151" spans="1:107" ht="15" customHeight="1" x14ac:dyDescent="0.25">
      <c r="A151" s="92" t="s">
        <v>47</v>
      </c>
      <c r="C151" s="35"/>
      <c r="D151" s="13"/>
      <c r="E151" s="69"/>
      <c r="F151" s="69"/>
      <c r="G151" s="13"/>
      <c r="H151" s="69"/>
      <c r="AH151" s="120"/>
      <c r="AI151" s="120"/>
      <c r="AJ151" s="120"/>
      <c r="AK151" s="120"/>
    </row>
    <row r="152" spans="1:107" customFormat="1" ht="15" x14ac:dyDescent="0.25">
      <c r="A152" s="8">
        <v>25177</v>
      </c>
      <c r="B152" s="7" t="s">
        <v>343</v>
      </c>
      <c r="C152" s="7" t="s">
        <v>344</v>
      </c>
      <c r="D152" s="7" t="s">
        <v>341</v>
      </c>
      <c r="E152" s="13"/>
      <c r="F152" s="7">
        <v>78380</v>
      </c>
      <c r="G152" s="7" t="s">
        <v>342</v>
      </c>
      <c r="H152" s="7">
        <v>10</v>
      </c>
      <c r="I152" s="7" t="s">
        <v>71</v>
      </c>
      <c r="J152" s="21" t="s">
        <v>480</v>
      </c>
      <c r="K152" s="21" t="s">
        <v>480</v>
      </c>
      <c r="L152" s="21" t="s">
        <v>480</v>
      </c>
      <c r="M152" s="21" t="s">
        <v>480</v>
      </c>
      <c r="N152" s="7" t="s">
        <v>118</v>
      </c>
      <c r="O152" s="7">
        <v>39</v>
      </c>
      <c r="P152" s="7">
        <v>0</v>
      </c>
      <c r="Q152" s="7">
        <v>39</v>
      </c>
      <c r="R152" s="7" t="s">
        <v>72</v>
      </c>
      <c r="S152" s="42">
        <v>1258361</v>
      </c>
      <c r="T152" s="42" t="s">
        <v>168</v>
      </c>
      <c r="U152" s="42" t="s">
        <v>167</v>
      </c>
      <c r="V152" s="55">
        <v>48355005604</v>
      </c>
      <c r="W152" s="55">
        <v>132</v>
      </c>
      <c r="X152" s="37">
        <v>17</v>
      </c>
      <c r="Y152" s="37">
        <v>4</v>
      </c>
      <c r="Z152" s="37">
        <v>8</v>
      </c>
      <c r="AA152" s="37">
        <v>4</v>
      </c>
      <c r="AB152" s="37">
        <v>0</v>
      </c>
      <c r="AC152" s="37">
        <v>1</v>
      </c>
      <c r="AD152" s="37">
        <v>166</v>
      </c>
      <c r="AE152" s="7"/>
      <c r="AF152" s="42">
        <v>18279.707919524277</v>
      </c>
      <c r="AG152" s="87"/>
      <c r="AH152" s="120" t="s">
        <v>515</v>
      </c>
      <c r="AI152" s="21" t="s">
        <v>516</v>
      </c>
      <c r="AJ152" s="21" t="s">
        <v>516</v>
      </c>
      <c r="AK152" s="21" t="s">
        <v>516</v>
      </c>
    </row>
    <row r="153" spans="1:107" s="112" customFormat="1" ht="15" x14ac:dyDescent="0.25">
      <c r="A153" s="8">
        <v>25272</v>
      </c>
      <c r="B153" s="7" t="s">
        <v>465</v>
      </c>
      <c r="C153" s="7" t="s">
        <v>466</v>
      </c>
      <c r="D153" s="7" t="s">
        <v>467</v>
      </c>
      <c r="E153" s="13"/>
      <c r="F153" s="7">
        <v>78332</v>
      </c>
      <c r="G153" s="7" t="s">
        <v>468</v>
      </c>
      <c r="H153" s="7">
        <v>10</v>
      </c>
      <c r="I153" s="7" t="s">
        <v>71</v>
      </c>
      <c r="J153" s="21" t="s">
        <v>480</v>
      </c>
      <c r="K153" s="21" t="s">
        <v>480</v>
      </c>
      <c r="L153" s="21" t="s">
        <v>480</v>
      </c>
      <c r="M153" s="21" t="s">
        <v>481</v>
      </c>
      <c r="N153" s="7" t="s">
        <v>400</v>
      </c>
      <c r="O153" s="7">
        <v>120</v>
      </c>
      <c r="P153" s="7">
        <v>0</v>
      </c>
      <c r="Q153" s="7">
        <v>120</v>
      </c>
      <c r="R153" s="7" t="s">
        <v>75</v>
      </c>
      <c r="S153" s="42">
        <v>1245000</v>
      </c>
      <c r="T153" s="42" t="s">
        <v>235</v>
      </c>
      <c r="U153" s="42" t="s">
        <v>120</v>
      </c>
      <c r="V153" s="55">
        <v>48249950500</v>
      </c>
      <c r="W153" s="55">
        <v>77</v>
      </c>
      <c r="X153" s="37">
        <v>0</v>
      </c>
      <c r="Y153" s="37">
        <v>4</v>
      </c>
      <c r="Z153" s="37">
        <v>8</v>
      </c>
      <c r="AA153" s="37">
        <v>0</v>
      </c>
      <c r="AB153" s="37">
        <v>0</v>
      </c>
      <c r="AC153" s="37">
        <v>0</v>
      </c>
      <c r="AD153" s="37">
        <v>89</v>
      </c>
      <c r="AE153" s="7"/>
      <c r="AF153" s="42">
        <v>0</v>
      </c>
      <c r="AG153" s="87"/>
      <c r="AH153" s="120"/>
      <c r="AI153" s="120"/>
      <c r="AJ153" s="120"/>
      <c r="AK153" s="120"/>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row>
    <row r="154" spans="1:107" s="112" customFormat="1" ht="15" x14ac:dyDescent="0.25">
      <c r="A154" s="105">
        <v>25236</v>
      </c>
      <c r="B154" s="106" t="s">
        <v>345</v>
      </c>
      <c r="C154" s="106" t="s">
        <v>346</v>
      </c>
      <c r="D154" s="106" t="s">
        <v>347</v>
      </c>
      <c r="E154" s="106"/>
      <c r="F154" s="106">
        <v>78363</v>
      </c>
      <c r="G154" s="106" t="s">
        <v>348</v>
      </c>
      <c r="H154" s="106">
        <v>10</v>
      </c>
      <c r="I154" s="106" t="s">
        <v>71</v>
      </c>
      <c r="J154" s="107" t="s">
        <v>480</v>
      </c>
      <c r="K154" s="107" t="s">
        <v>480</v>
      </c>
      <c r="L154" s="107" t="s">
        <v>397</v>
      </c>
      <c r="M154" s="107" t="s">
        <v>482</v>
      </c>
      <c r="N154" s="106" t="s">
        <v>118</v>
      </c>
      <c r="O154" s="106">
        <v>52</v>
      </c>
      <c r="P154" s="106">
        <v>10</v>
      </c>
      <c r="Q154" s="106">
        <v>62</v>
      </c>
      <c r="R154" s="106" t="s">
        <v>75</v>
      </c>
      <c r="S154" s="108">
        <v>1258361</v>
      </c>
      <c r="T154" s="108" t="s">
        <v>349</v>
      </c>
      <c r="U154" s="108" t="s">
        <v>350</v>
      </c>
      <c r="V154" s="109">
        <v>48273020401</v>
      </c>
      <c r="W154" s="109">
        <v>125</v>
      </c>
      <c r="X154" s="110">
        <v>17</v>
      </c>
      <c r="Y154" s="110">
        <v>0</v>
      </c>
      <c r="Z154" s="110">
        <v>8</v>
      </c>
      <c r="AA154" s="110">
        <v>4</v>
      </c>
      <c r="AB154" s="110">
        <v>0</v>
      </c>
      <c r="AC154" s="110">
        <v>1</v>
      </c>
      <c r="AD154" s="110">
        <v>155</v>
      </c>
      <c r="AE154" s="106"/>
      <c r="AF154" s="108">
        <v>7766.6124356737373</v>
      </c>
      <c r="AG154" s="113" t="s">
        <v>510</v>
      </c>
      <c r="AH154" s="124"/>
      <c r="AI154" s="124"/>
      <c r="AJ154" s="124"/>
      <c r="AK154" s="124"/>
    </row>
    <row r="155" spans="1:107" ht="15" customHeight="1" x14ac:dyDescent="0.25">
      <c r="A155" s="91" t="s">
        <v>24</v>
      </c>
      <c r="B155" s="15"/>
      <c r="C155" s="63">
        <v>871801.18662684725</v>
      </c>
      <c r="D155" s="70"/>
      <c r="E155" s="72"/>
      <c r="F155" s="69"/>
      <c r="G155" s="70"/>
      <c r="H155" s="72"/>
      <c r="I155" s="24"/>
      <c r="J155" s="22"/>
      <c r="K155" s="22"/>
      <c r="L155" s="22"/>
      <c r="M155" s="22"/>
      <c r="N155" s="16"/>
      <c r="O155" s="16"/>
      <c r="P155" s="16"/>
      <c r="Q155" s="16"/>
      <c r="R155" s="17" t="s">
        <v>20</v>
      </c>
      <c r="S155" s="41">
        <f>SUM(S152:S154)</f>
        <v>3761722</v>
      </c>
      <c r="T155" s="18"/>
      <c r="U155" s="16"/>
      <c r="V155" s="60"/>
      <c r="W155" s="16"/>
      <c r="X155" s="18"/>
      <c r="Y155" s="18"/>
      <c r="AC155" s="34"/>
      <c r="AD155" s="34"/>
      <c r="AE155"/>
      <c r="AF155" s="38"/>
      <c r="AG155" s="87"/>
      <c r="AH155" s="120"/>
      <c r="AI155" s="120"/>
      <c r="AJ155" s="120"/>
      <c r="AK155" s="120"/>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row>
    <row r="156" spans="1:107" ht="15" customHeight="1" x14ac:dyDescent="0.25">
      <c r="C156" s="35"/>
      <c r="D156" s="13"/>
      <c r="E156" s="69"/>
      <c r="F156" s="69"/>
      <c r="G156" s="13"/>
      <c r="H156" s="69"/>
      <c r="AH156" s="120"/>
      <c r="AI156" s="120"/>
      <c r="AJ156" s="120"/>
      <c r="AK156" s="120"/>
    </row>
    <row r="157" spans="1:107" customFormat="1" ht="15" customHeight="1" x14ac:dyDescent="0.25">
      <c r="A157" s="92" t="s">
        <v>48</v>
      </c>
      <c r="B157" s="7"/>
      <c r="C157" s="35"/>
      <c r="D157" s="13"/>
      <c r="E157" s="69"/>
      <c r="F157" s="69"/>
      <c r="G157" s="13"/>
      <c r="H157" s="69"/>
      <c r="I157" s="7"/>
      <c r="J157" s="21"/>
      <c r="K157" s="21"/>
      <c r="L157" s="21"/>
      <c r="M157" s="21"/>
      <c r="N157" s="7"/>
      <c r="O157" s="7"/>
      <c r="P157" s="7"/>
      <c r="Q157" s="7"/>
      <c r="R157" s="7"/>
      <c r="S157" s="42"/>
      <c r="T157" s="7"/>
      <c r="U157" s="7"/>
      <c r="V157" s="55"/>
      <c r="W157" s="7"/>
      <c r="X157" s="8"/>
      <c r="Y157" s="8"/>
      <c r="Z157" s="8"/>
      <c r="AA157" s="35"/>
      <c r="AB157" s="35"/>
      <c r="AC157" s="34"/>
      <c r="AD157" s="34"/>
      <c r="AF157" s="38"/>
      <c r="AG157" s="87"/>
      <c r="AH157" s="120"/>
      <c r="AI157" s="120"/>
      <c r="AJ157" s="120"/>
      <c r="AK157" s="120"/>
    </row>
    <row r="158" spans="1:107" s="80" customFormat="1" ht="15" x14ac:dyDescent="0.25">
      <c r="A158" s="8">
        <v>25013</v>
      </c>
      <c r="B158" s="7" t="s">
        <v>351</v>
      </c>
      <c r="C158" s="7" t="s">
        <v>352</v>
      </c>
      <c r="D158" s="7" t="s">
        <v>353</v>
      </c>
      <c r="E158" s="13"/>
      <c r="F158" s="7">
        <v>78413</v>
      </c>
      <c r="G158" s="7" t="s">
        <v>342</v>
      </c>
      <c r="H158" s="7">
        <v>10</v>
      </c>
      <c r="I158" s="7" t="s">
        <v>78</v>
      </c>
      <c r="J158" s="21" t="s">
        <v>480</v>
      </c>
      <c r="K158" s="21" t="s">
        <v>480</v>
      </c>
      <c r="L158" s="21" t="s">
        <v>480</v>
      </c>
      <c r="M158" s="21" t="s">
        <v>481</v>
      </c>
      <c r="N158" s="7" t="s">
        <v>118</v>
      </c>
      <c r="O158" s="7">
        <v>75</v>
      </c>
      <c r="P158" s="7">
        <v>0</v>
      </c>
      <c r="Q158" s="7">
        <v>75</v>
      </c>
      <c r="R158" s="7" t="s">
        <v>72</v>
      </c>
      <c r="S158" s="42">
        <v>1948110</v>
      </c>
      <c r="T158" s="42" t="s">
        <v>275</v>
      </c>
      <c r="U158" s="42" t="s">
        <v>274</v>
      </c>
      <c r="V158" s="55">
        <v>48355005411</v>
      </c>
      <c r="W158" s="55">
        <v>138</v>
      </c>
      <c r="X158" s="37">
        <v>17</v>
      </c>
      <c r="Y158" s="37">
        <v>4</v>
      </c>
      <c r="Z158" s="37">
        <v>8</v>
      </c>
      <c r="AA158" s="37">
        <v>4</v>
      </c>
      <c r="AB158" s="37">
        <v>0</v>
      </c>
      <c r="AC158" s="37">
        <v>1</v>
      </c>
      <c r="AD158" s="37">
        <v>172</v>
      </c>
      <c r="AE158" s="7"/>
      <c r="AF158" s="42">
        <v>3047.840267384976</v>
      </c>
      <c r="AG158" s="104" t="s">
        <v>506</v>
      </c>
      <c r="AH158" s="120" t="s">
        <v>515</v>
      </c>
      <c r="AI158" s="21" t="s">
        <v>516</v>
      </c>
      <c r="AJ158" s="21" t="s">
        <v>516</v>
      </c>
      <c r="AK158" s="21" t="s">
        <v>516</v>
      </c>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row>
    <row r="159" spans="1:107" customFormat="1" ht="15" x14ac:dyDescent="0.25">
      <c r="A159" s="8">
        <v>25218</v>
      </c>
      <c r="B159" s="7" t="s">
        <v>354</v>
      </c>
      <c r="C159" s="7" t="s">
        <v>355</v>
      </c>
      <c r="D159" s="7" t="s">
        <v>353</v>
      </c>
      <c r="E159" s="13"/>
      <c r="F159" s="7">
        <v>78413</v>
      </c>
      <c r="G159" s="7" t="s">
        <v>342</v>
      </c>
      <c r="H159" s="7">
        <v>10</v>
      </c>
      <c r="I159" s="7" t="s">
        <v>78</v>
      </c>
      <c r="J159" s="21" t="s">
        <v>480</v>
      </c>
      <c r="K159" s="21" t="s">
        <v>480</v>
      </c>
      <c r="L159" s="21" t="s">
        <v>480</v>
      </c>
      <c r="M159" s="21" t="s">
        <v>481</v>
      </c>
      <c r="N159" s="7" t="s">
        <v>118</v>
      </c>
      <c r="O159" s="7">
        <v>75</v>
      </c>
      <c r="P159" s="7">
        <v>0</v>
      </c>
      <c r="Q159" s="7">
        <v>75</v>
      </c>
      <c r="R159" s="7" t="s">
        <v>75</v>
      </c>
      <c r="S159" s="42">
        <v>1948110</v>
      </c>
      <c r="T159" s="42" t="s">
        <v>469</v>
      </c>
      <c r="U159" s="42" t="s">
        <v>246</v>
      </c>
      <c r="V159" s="55">
        <v>48355005412</v>
      </c>
      <c r="W159" s="55">
        <v>133</v>
      </c>
      <c r="X159" s="37">
        <v>17</v>
      </c>
      <c r="Y159" s="37">
        <v>4</v>
      </c>
      <c r="Z159" s="37">
        <v>8</v>
      </c>
      <c r="AA159" s="37">
        <v>4</v>
      </c>
      <c r="AB159" s="37">
        <v>0</v>
      </c>
      <c r="AC159" s="37">
        <v>1</v>
      </c>
      <c r="AD159" s="37">
        <v>167</v>
      </c>
      <c r="AE159" s="7"/>
      <c r="AF159" s="42">
        <v>6137.0939648545727</v>
      </c>
      <c r="AG159" s="87"/>
      <c r="AH159" s="120"/>
      <c r="AI159" s="120"/>
      <c r="AJ159" s="120"/>
      <c r="AK159" s="120"/>
    </row>
    <row r="160" spans="1:107" ht="15" customHeight="1" x14ac:dyDescent="0.25">
      <c r="A160" s="91" t="s">
        <v>24</v>
      </c>
      <c r="B160" s="15"/>
      <c r="C160" s="63">
        <v>1352400.3225535261</v>
      </c>
      <c r="D160" s="70"/>
      <c r="E160" s="72"/>
      <c r="F160" s="69"/>
      <c r="G160" s="70"/>
      <c r="H160" s="72"/>
      <c r="I160" s="24"/>
      <c r="J160" s="22"/>
      <c r="K160" s="22"/>
      <c r="L160" s="22"/>
      <c r="M160" s="22"/>
      <c r="N160" s="16"/>
      <c r="O160" s="16"/>
      <c r="P160" s="16"/>
      <c r="Q160" s="16"/>
      <c r="R160" s="17" t="s">
        <v>20</v>
      </c>
      <c r="S160" s="41">
        <f>SUM(S158:S159)</f>
        <v>3896220</v>
      </c>
      <c r="T160" s="18"/>
      <c r="U160" s="16"/>
      <c r="V160" s="60"/>
      <c r="W160" s="16"/>
      <c r="X160" s="18"/>
      <c r="Y160" s="18"/>
      <c r="AC160" s="34"/>
      <c r="AD160" s="34"/>
      <c r="AE160"/>
      <c r="AF160" s="38"/>
      <c r="AG160" s="87"/>
      <c r="AH160" s="120"/>
      <c r="AI160" s="120"/>
      <c r="AJ160" s="120"/>
      <c r="AK160" s="12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row>
    <row r="161" spans="1:107" ht="15" customHeight="1" x14ac:dyDescent="0.25">
      <c r="C161" s="35"/>
      <c r="D161" s="13"/>
      <c r="E161" s="69"/>
      <c r="F161" s="69"/>
      <c r="G161" s="13"/>
      <c r="H161" s="69"/>
      <c r="AH161" s="120"/>
      <c r="AI161" s="120"/>
      <c r="AJ161" s="120"/>
      <c r="AK161" s="120"/>
    </row>
    <row r="162" spans="1:107" customFormat="1" ht="15" customHeight="1" x14ac:dyDescent="0.25">
      <c r="A162" s="92" t="s">
        <v>49</v>
      </c>
      <c r="B162" s="7"/>
      <c r="C162" s="35"/>
      <c r="D162" s="13"/>
      <c r="E162" s="69"/>
      <c r="F162" s="69"/>
      <c r="G162" s="13"/>
      <c r="H162" s="69"/>
      <c r="I162" s="7"/>
      <c r="J162" s="21"/>
      <c r="K162" s="21"/>
      <c r="L162" s="21"/>
      <c r="M162" s="21"/>
      <c r="N162" s="7"/>
      <c r="O162" s="7"/>
      <c r="P162" s="7"/>
      <c r="Q162" s="7"/>
      <c r="R162" s="7"/>
      <c r="S162" s="42"/>
      <c r="T162" s="7"/>
      <c r="U162" s="7"/>
      <c r="V162" s="55"/>
      <c r="W162" s="7"/>
      <c r="X162" s="8"/>
      <c r="Y162" s="8"/>
      <c r="Z162" s="8"/>
      <c r="AA162" s="35"/>
      <c r="AB162" s="35"/>
      <c r="AC162" s="34"/>
      <c r="AD162" s="34"/>
      <c r="AF162" s="38"/>
      <c r="AG162" s="87"/>
      <c r="AH162" s="120"/>
      <c r="AI162" s="120"/>
      <c r="AJ162" s="120"/>
      <c r="AK162" s="120"/>
    </row>
    <row r="163" spans="1:107" customFormat="1" ht="15" x14ac:dyDescent="0.25">
      <c r="A163" s="8">
        <v>25055</v>
      </c>
      <c r="B163" s="7" t="s">
        <v>356</v>
      </c>
      <c r="C163" s="7" t="s">
        <v>470</v>
      </c>
      <c r="D163" s="7" t="s">
        <v>117</v>
      </c>
      <c r="E163" s="13"/>
      <c r="F163" s="7">
        <v>78557</v>
      </c>
      <c r="G163" s="7" t="s">
        <v>117</v>
      </c>
      <c r="H163" s="7">
        <v>11</v>
      </c>
      <c r="I163" s="7" t="s">
        <v>71</v>
      </c>
      <c r="J163" s="21" t="s">
        <v>480</v>
      </c>
      <c r="K163" s="21" t="s">
        <v>480</v>
      </c>
      <c r="L163" s="21" t="s">
        <v>480</v>
      </c>
      <c r="M163" s="21" t="s">
        <v>480</v>
      </c>
      <c r="N163" s="7" t="s">
        <v>118</v>
      </c>
      <c r="O163" s="7">
        <v>52</v>
      </c>
      <c r="P163" s="7">
        <v>0</v>
      </c>
      <c r="Q163" s="7">
        <v>52</v>
      </c>
      <c r="R163" s="7" t="s">
        <v>72</v>
      </c>
      <c r="S163" s="42">
        <v>1166816</v>
      </c>
      <c r="T163" s="42" t="s">
        <v>471</v>
      </c>
      <c r="U163" s="42" t="s">
        <v>472</v>
      </c>
      <c r="V163" s="55">
        <v>48215021311</v>
      </c>
      <c r="W163" s="55">
        <v>139</v>
      </c>
      <c r="X163" s="37">
        <v>17</v>
      </c>
      <c r="Y163" s="37">
        <v>4</v>
      </c>
      <c r="Z163" s="37">
        <v>8</v>
      </c>
      <c r="AA163" s="37">
        <v>4</v>
      </c>
      <c r="AB163" s="37">
        <v>0</v>
      </c>
      <c r="AC163" s="37">
        <v>1</v>
      </c>
      <c r="AD163" s="37">
        <v>173</v>
      </c>
      <c r="AE163" s="7"/>
      <c r="AF163" s="42">
        <v>2681.4906522492802</v>
      </c>
      <c r="AG163" s="104" t="s">
        <v>506</v>
      </c>
      <c r="AH163" s="120" t="s">
        <v>515</v>
      </c>
      <c r="AI163" s="21" t="s">
        <v>516</v>
      </c>
      <c r="AJ163" s="21" t="s">
        <v>516</v>
      </c>
      <c r="AK163" s="21" t="s">
        <v>516</v>
      </c>
    </row>
    <row r="164" spans="1:107" s="80" customFormat="1" ht="15" x14ac:dyDescent="0.25">
      <c r="A164" s="8">
        <v>25069</v>
      </c>
      <c r="B164" s="7" t="s">
        <v>357</v>
      </c>
      <c r="C164" s="7" t="s">
        <v>358</v>
      </c>
      <c r="D164" s="7" t="s">
        <v>359</v>
      </c>
      <c r="E164" s="13"/>
      <c r="F164" s="7">
        <v>78852</v>
      </c>
      <c r="G164" s="7" t="s">
        <v>360</v>
      </c>
      <c r="H164" s="7">
        <v>11</v>
      </c>
      <c r="I164" s="7" t="s">
        <v>71</v>
      </c>
      <c r="J164" s="21" t="s">
        <v>480</v>
      </c>
      <c r="K164" s="21" t="s">
        <v>480</v>
      </c>
      <c r="L164" s="21" t="s">
        <v>480</v>
      </c>
      <c r="M164" s="21" t="s">
        <v>480</v>
      </c>
      <c r="N164" s="7" t="s">
        <v>118</v>
      </c>
      <c r="O164" s="7">
        <v>57</v>
      </c>
      <c r="P164" s="7">
        <v>0</v>
      </c>
      <c r="Q164" s="7">
        <v>57</v>
      </c>
      <c r="R164" s="7" t="s">
        <v>75</v>
      </c>
      <c r="S164" s="42">
        <v>1660000</v>
      </c>
      <c r="T164" s="42" t="s">
        <v>251</v>
      </c>
      <c r="U164" s="42" t="s">
        <v>419</v>
      </c>
      <c r="V164" s="55">
        <v>48323950701</v>
      </c>
      <c r="W164" s="55">
        <v>138</v>
      </c>
      <c r="X164" s="37">
        <v>17</v>
      </c>
      <c r="Y164" s="37">
        <v>4</v>
      </c>
      <c r="Z164" s="37">
        <v>8</v>
      </c>
      <c r="AA164" s="37">
        <v>4</v>
      </c>
      <c r="AB164" s="37">
        <v>0</v>
      </c>
      <c r="AC164" s="37">
        <v>1</v>
      </c>
      <c r="AD164" s="37">
        <v>172</v>
      </c>
      <c r="AE164" s="7"/>
      <c r="AF164" s="42">
        <v>3573.9089935771372</v>
      </c>
      <c r="AG164" s="87"/>
      <c r="AH164" s="120"/>
      <c r="AI164" s="120"/>
      <c r="AJ164" s="120"/>
      <c r="AK164" s="120"/>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row>
    <row r="165" spans="1:107" ht="15" customHeight="1" x14ac:dyDescent="0.25">
      <c r="A165" s="91" t="s">
        <v>24</v>
      </c>
      <c r="B165" s="15"/>
      <c r="C165" s="63">
        <v>1214518.9678951923</v>
      </c>
      <c r="D165" s="70"/>
      <c r="E165" s="72"/>
      <c r="F165" s="69"/>
      <c r="G165" s="70"/>
      <c r="H165" s="72"/>
      <c r="I165" s="24"/>
      <c r="J165" s="22"/>
      <c r="K165" s="22"/>
      <c r="L165" s="22"/>
      <c r="M165" s="22"/>
      <c r="N165" s="16"/>
      <c r="O165" s="16"/>
      <c r="P165" s="16"/>
      <c r="Q165" s="16"/>
      <c r="R165" s="17" t="s">
        <v>20</v>
      </c>
      <c r="S165" s="41">
        <f>SUM(S163:S164)</f>
        <v>2826816</v>
      </c>
      <c r="T165" s="18"/>
      <c r="U165" s="16"/>
      <c r="V165" s="60"/>
      <c r="W165" s="16"/>
      <c r="X165" s="18"/>
      <c r="Y165" s="18"/>
      <c r="AC165" s="34"/>
      <c r="AD165" s="34"/>
      <c r="AE165"/>
      <c r="AF165" s="38"/>
      <c r="AG165" s="87"/>
      <c r="AH165" s="120"/>
      <c r="AI165" s="120"/>
      <c r="AJ165" s="120"/>
      <c r="AK165" s="120"/>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row>
    <row r="166" spans="1:107" ht="15" customHeight="1" x14ac:dyDescent="0.25">
      <c r="C166" s="35"/>
      <c r="D166" s="13"/>
      <c r="E166" s="69"/>
      <c r="F166" s="69"/>
      <c r="G166" s="13"/>
      <c r="H166" s="69"/>
      <c r="AH166" s="120"/>
      <c r="AI166" s="120"/>
      <c r="AJ166" s="120"/>
      <c r="AK166" s="120"/>
    </row>
    <row r="167" spans="1:107" customFormat="1" ht="15" customHeight="1" x14ac:dyDescent="0.25">
      <c r="A167" s="92" t="s">
        <v>50</v>
      </c>
      <c r="B167" s="7"/>
      <c r="C167" s="35"/>
      <c r="D167" s="13"/>
      <c r="E167" s="69"/>
      <c r="F167" s="69"/>
      <c r="G167" s="13"/>
      <c r="H167" s="69"/>
      <c r="I167" s="7"/>
      <c r="J167" s="21"/>
      <c r="K167" s="21"/>
      <c r="L167" s="21"/>
      <c r="M167" s="21"/>
      <c r="N167" s="7"/>
      <c r="O167" s="7"/>
      <c r="P167" s="7"/>
      <c r="Q167" s="7"/>
      <c r="R167" s="7"/>
      <c r="S167" s="42"/>
      <c r="T167" s="7"/>
      <c r="U167" s="7"/>
      <c r="V167" s="55"/>
      <c r="W167" s="7"/>
      <c r="X167" s="8"/>
      <c r="Y167" s="8"/>
      <c r="Z167" s="8"/>
      <c r="AA167" s="35"/>
      <c r="AB167" s="35"/>
      <c r="AC167" s="34"/>
      <c r="AD167" s="34"/>
      <c r="AF167" s="38"/>
      <c r="AG167" s="87"/>
      <c r="AH167" s="120"/>
      <c r="AI167" s="120"/>
      <c r="AJ167" s="120"/>
      <c r="AK167" s="120"/>
    </row>
    <row r="168" spans="1:107" s="80" customFormat="1" ht="15" x14ac:dyDescent="0.25">
      <c r="A168" s="8">
        <v>25051</v>
      </c>
      <c r="B168" s="7" t="s">
        <v>361</v>
      </c>
      <c r="C168" s="7" t="s">
        <v>473</v>
      </c>
      <c r="D168" s="7" t="s">
        <v>362</v>
      </c>
      <c r="E168" s="13"/>
      <c r="F168" s="7">
        <v>78572</v>
      </c>
      <c r="G168" s="7" t="s">
        <v>117</v>
      </c>
      <c r="H168" s="7">
        <v>11</v>
      </c>
      <c r="I168" s="7" t="s">
        <v>78</v>
      </c>
      <c r="J168" s="21" t="s">
        <v>480</v>
      </c>
      <c r="K168" s="21" t="s">
        <v>480</v>
      </c>
      <c r="L168" s="21" t="s">
        <v>480</v>
      </c>
      <c r="M168" s="21" t="s">
        <v>480</v>
      </c>
      <c r="N168" s="7" t="s">
        <v>118</v>
      </c>
      <c r="O168" s="7">
        <v>104</v>
      </c>
      <c r="P168" s="7">
        <v>0</v>
      </c>
      <c r="Q168" s="7">
        <v>104</v>
      </c>
      <c r="R168" s="7" t="s">
        <v>72</v>
      </c>
      <c r="S168" s="42">
        <v>2000000</v>
      </c>
      <c r="T168" s="42" t="s">
        <v>471</v>
      </c>
      <c r="U168" s="42" t="s">
        <v>472</v>
      </c>
      <c r="V168" s="55">
        <v>48215020207</v>
      </c>
      <c r="W168" s="55">
        <v>139</v>
      </c>
      <c r="X168" s="37">
        <v>17</v>
      </c>
      <c r="Y168" s="37">
        <v>4</v>
      </c>
      <c r="Z168" s="37">
        <v>8</v>
      </c>
      <c r="AA168" s="37">
        <v>4</v>
      </c>
      <c r="AB168" s="37">
        <v>0</v>
      </c>
      <c r="AC168" s="37">
        <v>1</v>
      </c>
      <c r="AD168" s="37">
        <v>173</v>
      </c>
      <c r="AE168" s="7"/>
      <c r="AF168" s="42">
        <v>2074.3950409493759</v>
      </c>
      <c r="AG168" s="104" t="s">
        <v>506</v>
      </c>
      <c r="AH168" s="120" t="s">
        <v>515</v>
      </c>
      <c r="AI168" s="21" t="s">
        <v>516</v>
      </c>
      <c r="AJ168" s="21" t="s">
        <v>516</v>
      </c>
      <c r="AK168" s="21" t="s">
        <v>516</v>
      </c>
    </row>
    <row r="169" spans="1:107" s="80" customFormat="1" ht="15" x14ac:dyDescent="0.25">
      <c r="A169" s="8">
        <v>25214</v>
      </c>
      <c r="B169" s="7" t="s">
        <v>375</v>
      </c>
      <c r="C169" s="7" t="s">
        <v>474</v>
      </c>
      <c r="D169" s="7" t="s">
        <v>371</v>
      </c>
      <c r="E169" s="13"/>
      <c r="F169" s="7">
        <v>78504</v>
      </c>
      <c r="G169" s="7" t="s">
        <v>117</v>
      </c>
      <c r="H169" s="7">
        <v>11</v>
      </c>
      <c r="I169" s="7" t="s">
        <v>78</v>
      </c>
      <c r="J169" s="21" t="s">
        <v>480</v>
      </c>
      <c r="K169" s="21" t="s">
        <v>480</v>
      </c>
      <c r="L169" s="21" t="s">
        <v>480</v>
      </c>
      <c r="M169" s="21" t="s">
        <v>481</v>
      </c>
      <c r="N169" s="7" t="s">
        <v>118</v>
      </c>
      <c r="O169" s="7">
        <v>104</v>
      </c>
      <c r="P169" s="7">
        <v>0</v>
      </c>
      <c r="Q169" s="7">
        <v>104</v>
      </c>
      <c r="R169" s="7" t="s">
        <v>72</v>
      </c>
      <c r="S169" s="42">
        <v>2000000</v>
      </c>
      <c r="T169" s="42" t="s">
        <v>469</v>
      </c>
      <c r="U169" s="42" t="s">
        <v>246</v>
      </c>
      <c r="V169" s="55">
        <v>48215020736</v>
      </c>
      <c r="W169" s="55">
        <v>139</v>
      </c>
      <c r="X169" s="37">
        <v>17</v>
      </c>
      <c r="Y169" s="37">
        <v>4</v>
      </c>
      <c r="Z169" s="37">
        <v>8</v>
      </c>
      <c r="AA169" s="37">
        <v>4</v>
      </c>
      <c r="AB169" s="37">
        <v>0</v>
      </c>
      <c r="AC169" s="37">
        <v>1</v>
      </c>
      <c r="AD169" s="37">
        <v>173</v>
      </c>
      <c r="AE169" s="7"/>
      <c r="AF169" s="42">
        <v>3113.9184470102828</v>
      </c>
      <c r="AG169" s="104" t="s">
        <v>506</v>
      </c>
      <c r="AH169" s="120" t="s">
        <v>515</v>
      </c>
      <c r="AI169" s="21" t="s">
        <v>516</v>
      </c>
      <c r="AJ169" s="21" t="s">
        <v>516</v>
      </c>
      <c r="AK169" s="21" t="s">
        <v>516</v>
      </c>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row>
    <row r="170" spans="1:107" customFormat="1" ht="15" x14ac:dyDescent="0.25">
      <c r="A170" s="8">
        <v>25053</v>
      </c>
      <c r="B170" s="7" t="s">
        <v>364</v>
      </c>
      <c r="C170" s="7" t="s">
        <v>365</v>
      </c>
      <c r="D170" s="7" t="s">
        <v>116</v>
      </c>
      <c r="E170" s="13"/>
      <c r="F170" s="7">
        <v>78572</v>
      </c>
      <c r="G170" s="7" t="s">
        <v>117</v>
      </c>
      <c r="H170" s="7">
        <v>11</v>
      </c>
      <c r="I170" s="7" t="s">
        <v>78</v>
      </c>
      <c r="J170" s="21" t="s">
        <v>480</v>
      </c>
      <c r="K170" s="21" t="s">
        <v>480</v>
      </c>
      <c r="L170" s="21" t="s">
        <v>480</v>
      </c>
      <c r="M170" s="21" t="s">
        <v>480</v>
      </c>
      <c r="N170" s="7" t="s">
        <v>118</v>
      </c>
      <c r="O170" s="7">
        <v>105</v>
      </c>
      <c r="P170" s="7">
        <v>0</v>
      </c>
      <c r="Q170" s="7">
        <v>105</v>
      </c>
      <c r="R170" s="7" t="s">
        <v>72</v>
      </c>
      <c r="S170" s="42">
        <v>2000000</v>
      </c>
      <c r="T170" s="42" t="s">
        <v>471</v>
      </c>
      <c r="U170" s="42" t="s">
        <v>472</v>
      </c>
      <c r="V170" s="55">
        <v>48215020107</v>
      </c>
      <c r="W170" s="55">
        <v>139</v>
      </c>
      <c r="X170" s="37">
        <v>17</v>
      </c>
      <c r="Y170" s="37">
        <v>4</v>
      </c>
      <c r="Z170" s="37">
        <v>8</v>
      </c>
      <c r="AA170" s="37">
        <v>4</v>
      </c>
      <c r="AB170" s="37">
        <v>0</v>
      </c>
      <c r="AC170" s="37">
        <v>1</v>
      </c>
      <c r="AD170" s="37">
        <v>173</v>
      </c>
      <c r="AE170" s="7"/>
      <c r="AF170" s="42">
        <v>7050.6186733642453</v>
      </c>
      <c r="AG170" s="87"/>
      <c r="AH170" s="120"/>
      <c r="AI170" s="120"/>
      <c r="AJ170" s="120"/>
      <c r="AK170" s="120"/>
      <c r="AL170" s="80"/>
      <c r="AM170" s="80"/>
      <c r="AN170" s="80"/>
      <c r="AO170" s="80"/>
      <c r="AP170" s="80"/>
      <c r="AQ170" s="80"/>
      <c r="AR170" s="80"/>
      <c r="AS170" s="80"/>
      <c r="AT170" s="80"/>
      <c r="AU170" s="80"/>
      <c r="AV170" s="80"/>
      <c r="AW170" s="80"/>
      <c r="AX170" s="80"/>
      <c r="AY170" s="80"/>
      <c r="AZ170" s="80"/>
      <c r="BA170" s="80"/>
      <c r="BB170" s="80"/>
      <c r="BC170" s="80"/>
      <c r="BD170" s="80"/>
      <c r="BE170" s="80"/>
      <c r="BF170" s="80"/>
      <c r="BG170" s="80"/>
      <c r="BH170" s="80"/>
      <c r="BI170" s="80"/>
      <c r="BJ170" s="80"/>
      <c r="BK170" s="80"/>
      <c r="BL170" s="80"/>
      <c r="BM170" s="80"/>
      <c r="BN170" s="80"/>
      <c r="BO170" s="80"/>
      <c r="BP170" s="80"/>
      <c r="BQ170" s="80"/>
      <c r="BR170" s="80"/>
      <c r="BS170" s="80"/>
      <c r="BT170" s="80"/>
      <c r="BU170" s="80"/>
      <c r="BV170" s="80"/>
      <c r="BW170" s="80"/>
      <c r="BX170" s="80"/>
      <c r="BY170" s="80"/>
      <c r="BZ170" s="80"/>
      <c r="CA170" s="80"/>
      <c r="CB170" s="80"/>
      <c r="CC170" s="80"/>
      <c r="CD170" s="80"/>
      <c r="CE170" s="80"/>
      <c r="CF170" s="80"/>
      <c r="CG170" s="80"/>
      <c r="CH170" s="80"/>
      <c r="CI170" s="80"/>
      <c r="CJ170" s="80"/>
      <c r="CK170" s="80"/>
      <c r="CL170" s="80"/>
      <c r="CM170" s="80"/>
      <c r="CN170" s="80"/>
      <c r="CO170" s="80"/>
      <c r="CP170" s="80"/>
      <c r="CQ170" s="80"/>
      <c r="CR170" s="80"/>
      <c r="CS170" s="80"/>
      <c r="CT170" s="80"/>
      <c r="CU170" s="80"/>
      <c r="CV170" s="80"/>
      <c r="CW170" s="80"/>
      <c r="CX170" s="80"/>
      <c r="CY170" s="80"/>
      <c r="CZ170" s="80"/>
      <c r="DA170" s="80"/>
      <c r="DB170" s="80"/>
      <c r="DC170" s="80"/>
    </row>
    <row r="171" spans="1:107" customFormat="1" ht="15" x14ac:dyDescent="0.25">
      <c r="A171" s="8">
        <v>25065</v>
      </c>
      <c r="B171" s="7" t="s">
        <v>369</v>
      </c>
      <c r="C171" s="7" t="s">
        <v>370</v>
      </c>
      <c r="D171" s="7" t="s">
        <v>366</v>
      </c>
      <c r="E171" s="13"/>
      <c r="F171" s="7">
        <v>78577</v>
      </c>
      <c r="G171" s="7" t="s">
        <v>117</v>
      </c>
      <c r="H171" s="7">
        <v>11</v>
      </c>
      <c r="I171" s="7" t="s">
        <v>78</v>
      </c>
      <c r="J171" s="21" t="s">
        <v>480</v>
      </c>
      <c r="K171" s="21" t="s">
        <v>480</v>
      </c>
      <c r="L171" s="21" t="s">
        <v>397</v>
      </c>
      <c r="M171" s="21" t="s">
        <v>480</v>
      </c>
      <c r="N171" s="7" t="s">
        <v>415</v>
      </c>
      <c r="O171" s="7">
        <v>95</v>
      </c>
      <c r="P171" s="7">
        <v>19</v>
      </c>
      <c r="Q171" s="7">
        <v>114</v>
      </c>
      <c r="R171" s="7" t="s">
        <v>75</v>
      </c>
      <c r="S171" s="42">
        <v>2000000</v>
      </c>
      <c r="T171" s="42" t="s">
        <v>367</v>
      </c>
      <c r="U171" s="42" t="s">
        <v>368</v>
      </c>
      <c r="V171" s="55">
        <v>48215021401</v>
      </c>
      <c r="W171" s="55">
        <v>130</v>
      </c>
      <c r="X171" s="37">
        <v>17</v>
      </c>
      <c r="Y171" s="37">
        <v>4</v>
      </c>
      <c r="Z171" s="37">
        <v>8</v>
      </c>
      <c r="AA171" s="37">
        <v>4</v>
      </c>
      <c r="AB171" s="37">
        <v>7</v>
      </c>
      <c r="AC171" s="37">
        <v>0</v>
      </c>
      <c r="AD171" s="37">
        <v>170</v>
      </c>
      <c r="AE171" s="7"/>
      <c r="AF171" s="42">
        <v>2435.0071830261804</v>
      </c>
      <c r="AG171" s="87" t="s">
        <v>490</v>
      </c>
      <c r="AH171" s="120"/>
      <c r="AI171" s="120"/>
      <c r="AJ171" s="120"/>
      <c r="AK171" s="120"/>
    </row>
    <row r="172" spans="1:107" customFormat="1" ht="15" x14ac:dyDescent="0.25">
      <c r="A172" s="8">
        <v>25196</v>
      </c>
      <c r="B172" s="7" t="s">
        <v>372</v>
      </c>
      <c r="C172" s="7" t="s">
        <v>373</v>
      </c>
      <c r="D172" s="7" t="s">
        <v>363</v>
      </c>
      <c r="E172" s="13"/>
      <c r="F172" s="7">
        <v>78521</v>
      </c>
      <c r="G172" s="7" t="s">
        <v>81</v>
      </c>
      <c r="H172" s="7">
        <v>11</v>
      </c>
      <c r="I172" s="7" t="s">
        <v>78</v>
      </c>
      <c r="J172" s="21" t="s">
        <v>480</v>
      </c>
      <c r="K172" s="21" t="s">
        <v>480</v>
      </c>
      <c r="L172" s="21" t="s">
        <v>397</v>
      </c>
      <c r="M172" s="21" t="s">
        <v>481</v>
      </c>
      <c r="N172" s="7" t="s">
        <v>485</v>
      </c>
      <c r="O172" s="7">
        <v>70</v>
      </c>
      <c r="P172" s="7">
        <v>13</v>
      </c>
      <c r="Q172" s="7">
        <v>83</v>
      </c>
      <c r="R172" s="7" t="s">
        <v>75</v>
      </c>
      <c r="S172" s="42">
        <v>2000000</v>
      </c>
      <c r="T172" s="42" t="s">
        <v>374</v>
      </c>
      <c r="U172" s="42" t="s">
        <v>340</v>
      </c>
      <c r="V172" s="55">
        <v>48061013902</v>
      </c>
      <c r="W172" s="55">
        <v>124</v>
      </c>
      <c r="X172" s="37">
        <v>17</v>
      </c>
      <c r="Y172" s="37">
        <v>4</v>
      </c>
      <c r="Z172" s="37">
        <v>8</v>
      </c>
      <c r="AA172" s="37">
        <v>4</v>
      </c>
      <c r="AB172" s="37">
        <v>7</v>
      </c>
      <c r="AC172" s="37">
        <v>0</v>
      </c>
      <c r="AD172" s="37">
        <v>164</v>
      </c>
      <c r="AE172" s="7"/>
      <c r="AF172" s="42">
        <v>4223.6836998228009</v>
      </c>
      <c r="AG172" s="96" t="s">
        <v>492</v>
      </c>
      <c r="AH172" s="120" t="s">
        <v>515</v>
      </c>
      <c r="AI172" s="21" t="s">
        <v>516</v>
      </c>
      <c r="AJ172" s="21" t="s">
        <v>516</v>
      </c>
      <c r="AK172" s="21" t="s">
        <v>516</v>
      </c>
    </row>
    <row r="173" spans="1:107" ht="15" customHeight="1" x14ac:dyDescent="0.25">
      <c r="A173" s="91" t="s">
        <v>24</v>
      </c>
      <c r="B173" s="15"/>
      <c r="C173" s="63">
        <v>6832290.3363226745</v>
      </c>
      <c r="D173" s="70"/>
      <c r="E173" s="72"/>
      <c r="F173" s="69"/>
      <c r="G173" s="70"/>
      <c r="H173" s="72"/>
      <c r="I173" s="24"/>
      <c r="J173" s="22"/>
      <c r="K173" s="22"/>
      <c r="L173" s="22"/>
      <c r="M173" s="22"/>
      <c r="N173" s="16"/>
      <c r="O173" s="16"/>
      <c r="P173" s="16"/>
      <c r="Q173" s="16"/>
      <c r="R173" s="17" t="s">
        <v>20</v>
      </c>
      <c r="S173" s="41">
        <f>SUM(S168:S172)</f>
        <v>10000000</v>
      </c>
      <c r="T173" s="18"/>
      <c r="U173" s="16"/>
      <c r="V173" s="60"/>
      <c r="W173" s="16"/>
      <c r="X173" s="18"/>
      <c r="Y173" s="18"/>
      <c r="AC173" s="34"/>
      <c r="AD173" s="34"/>
      <c r="AE173"/>
      <c r="AF173" s="38"/>
      <c r="AG173" s="87"/>
      <c r="AH173" s="120"/>
      <c r="AI173" s="120"/>
      <c r="AJ173" s="120"/>
      <c r="AK173" s="120"/>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row>
    <row r="174" spans="1:107" ht="15" x14ac:dyDescent="0.25">
      <c r="C174" s="35"/>
      <c r="D174" s="13"/>
      <c r="E174" s="69"/>
      <c r="F174" s="69"/>
      <c r="G174" s="13"/>
      <c r="H174" s="69"/>
      <c r="AH174" s="120"/>
      <c r="AI174" s="120"/>
      <c r="AJ174" s="120"/>
      <c r="AK174" s="120"/>
    </row>
    <row r="175" spans="1:107" customFormat="1" ht="15" customHeight="1" x14ac:dyDescent="0.25">
      <c r="A175" s="92" t="s">
        <v>51</v>
      </c>
      <c r="B175" s="7"/>
      <c r="C175" s="35"/>
      <c r="D175" s="13"/>
      <c r="E175" s="69"/>
      <c r="F175" s="69"/>
      <c r="G175" s="13"/>
      <c r="H175" s="69"/>
      <c r="I175" s="7"/>
      <c r="J175" s="21"/>
      <c r="K175" s="21"/>
      <c r="L175" s="21"/>
      <c r="M175" s="21"/>
      <c r="N175" s="7"/>
      <c r="O175" s="7"/>
      <c r="P175" s="7"/>
      <c r="Q175" s="7"/>
      <c r="R175" s="7"/>
      <c r="S175" s="42"/>
      <c r="T175" s="7"/>
      <c r="U175" s="7"/>
      <c r="V175" s="55"/>
      <c r="W175" s="7"/>
      <c r="X175" s="8"/>
      <c r="Y175" s="8"/>
      <c r="Z175" s="8"/>
      <c r="AA175" s="35"/>
      <c r="AB175" s="35"/>
      <c r="AC175" s="34"/>
      <c r="AD175" s="34"/>
      <c r="AF175" s="38"/>
      <c r="AG175" s="87"/>
      <c r="AH175" s="120"/>
      <c r="AI175" s="120"/>
      <c r="AJ175" s="120"/>
      <c r="AK175" s="120"/>
    </row>
    <row r="176" spans="1:107" customFormat="1" ht="15" customHeight="1" x14ac:dyDescent="0.25">
      <c r="A176" s="8">
        <v>25194</v>
      </c>
      <c r="B176" s="7" t="s">
        <v>376</v>
      </c>
      <c r="C176" s="7" t="s">
        <v>475</v>
      </c>
      <c r="D176" s="7" t="s">
        <v>377</v>
      </c>
      <c r="E176" s="13"/>
      <c r="F176" s="7">
        <v>79720</v>
      </c>
      <c r="G176" s="7" t="s">
        <v>378</v>
      </c>
      <c r="H176" s="7">
        <v>12</v>
      </c>
      <c r="I176" s="7" t="s">
        <v>71</v>
      </c>
      <c r="J176" s="21" t="s">
        <v>480</v>
      </c>
      <c r="K176" s="21" t="s">
        <v>480</v>
      </c>
      <c r="L176" s="21" t="s">
        <v>480</v>
      </c>
      <c r="M176" s="21" t="s">
        <v>481</v>
      </c>
      <c r="N176" s="7" t="s">
        <v>118</v>
      </c>
      <c r="O176" s="7">
        <v>39</v>
      </c>
      <c r="P176" s="7">
        <v>0</v>
      </c>
      <c r="Q176" s="7">
        <v>39</v>
      </c>
      <c r="R176" s="7" t="s">
        <v>72</v>
      </c>
      <c r="S176" s="42">
        <v>1125000</v>
      </c>
      <c r="T176" s="42" t="s">
        <v>168</v>
      </c>
      <c r="U176" s="42" t="s">
        <v>167</v>
      </c>
      <c r="V176" s="55">
        <v>48227950700</v>
      </c>
      <c r="W176" s="55">
        <v>123</v>
      </c>
      <c r="X176" s="37">
        <v>17</v>
      </c>
      <c r="Y176" s="37">
        <v>4</v>
      </c>
      <c r="Z176" s="37">
        <v>8</v>
      </c>
      <c r="AA176" s="37">
        <v>4</v>
      </c>
      <c r="AB176" s="37">
        <v>0</v>
      </c>
      <c r="AC176" s="37">
        <v>1</v>
      </c>
      <c r="AD176" s="37">
        <v>157</v>
      </c>
      <c r="AE176" s="7"/>
      <c r="AF176" s="42">
        <v>5817.1123361535056</v>
      </c>
      <c r="AG176" s="87"/>
      <c r="AH176" s="120" t="s">
        <v>515</v>
      </c>
      <c r="AI176" s="21" t="s">
        <v>516</v>
      </c>
      <c r="AJ176" s="21" t="s">
        <v>516</v>
      </c>
      <c r="AK176" s="21" t="s">
        <v>516</v>
      </c>
    </row>
    <row r="177" spans="1:107" customFormat="1" ht="15" x14ac:dyDescent="0.25">
      <c r="A177" s="8">
        <v>25271</v>
      </c>
      <c r="B177" s="7" t="s">
        <v>476</v>
      </c>
      <c r="C177" s="7" t="s">
        <v>475</v>
      </c>
      <c r="D177" s="7" t="s">
        <v>377</v>
      </c>
      <c r="E177" s="13"/>
      <c r="F177" s="7">
        <v>79720</v>
      </c>
      <c r="G177" s="7" t="s">
        <v>378</v>
      </c>
      <c r="H177" s="7">
        <v>12</v>
      </c>
      <c r="I177" s="7" t="s">
        <v>71</v>
      </c>
      <c r="J177" s="21" t="s">
        <v>480</v>
      </c>
      <c r="K177" s="21" t="s">
        <v>480</v>
      </c>
      <c r="L177" s="21" t="s">
        <v>480</v>
      </c>
      <c r="M177" s="21" t="s">
        <v>481</v>
      </c>
      <c r="N177" s="7" t="s">
        <v>118</v>
      </c>
      <c r="O177" s="7">
        <v>39</v>
      </c>
      <c r="P177" s="7">
        <v>0</v>
      </c>
      <c r="Q177" s="7">
        <v>39</v>
      </c>
      <c r="R177" s="7" t="s">
        <v>75</v>
      </c>
      <c r="S177" s="42">
        <v>1125000</v>
      </c>
      <c r="T177" s="42" t="s">
        <v>168</v>
      </c>
      <c r="U177" s="42" t="s">
        <v>167</v>
      </c>
      <c r="V177" s="55">
        <v>48227950700</v>
      </c>
      <c r="W177" s="55">
        <v>79</v>
      </c>
      <c r="X177" s="37">
        <v>0</v>
      </c>
      <c r="Y177" s="37">
        <v>4</v>
      </c>
      <c r="Z177" s="37">
        <v>0</v>
      </c>
      <c r="AA177" s="37">
        <v>0</v>
      </c>
      <c r="AB177" s="37">
        <v>0</v>
      </c>
      <c r="AC177" s="37">
        <v>0</v>
      </c>
      <c r="AD177" s="37">
        <v>83</v>
      </c>
      <c r="AE177" s="7"/>
      <c r="AF177" s="42">
        <v>5509.4461054821004</v>
      </c>
      <c r="AG177" s="87"/>
      <c r="AH177" s="120"/>
      <c r="AI177" s="120"/>
      <c r="AJ177" s="120"/>
      <c r="AK177" s="120"/>
    </row>
    <row r="178" spans="1:107" ht="15" customHeight="1" x14ac:dyDescent="0.25">
      <c r="A178" s="91" t="s">
        <v>24</v>
      </c>
      <c r="B178" s="15"/>
      <c r="C178" s="63">
        <v>750000</v>
      </c>
      <c r="D178" s="70"/>
      <c r="E178" s="72"/>
      <c r="F178" s="69"/>
      <c r="G178" s="70"/>
      <c r="H178" s="72"/>
      <c r="I178" s="24"/>
      <c r="J178" s="22"/>
      <c r="K178" s="22"/>
      <c r="L178" s="22"/>
      <c r="M178" s="22"/>
      <c r="N178" s="16"/>
      <c r="O178" s="16"/>
      <c r="P178" s="16"/>
      <c r="Q178" s="16"/>
      <c r="R178" s="17" t="s">
        <v>20</v>
      </c>
      <c r="S178" s="41">
        <f>SUM(S176:S177)</f>
        <v>2250000</v>
      </c>
      <c r="T178" s="18"/>
      <c r="U178" s="16"/>
      <c r="V178" s="60"/>
      <c r="W178" s="16"/>
      <c r="X178" s="18"/>
      <c r="Y178" s="18"/>
      <c r="AC178" s="34"/>
      <c r="AD178" s="34"/>
      <c r="AE178"/>
      <c r="AF178" s="38"/>
      <c r="AG178" s="87"/>
      <c r="AH178" s="120"/>
      <c r="AI178" s="120"/>
      <c r="AJ178" s="120"/>
      <c r="AK178" s="120"/>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row>
    <row r="179" spans="1:107" ht="15" customHeight="1" x14ac:dyDescent="0.25">
      <c r="C179" s="35"/>
      <c r="D179" s="13"/>
      <c r="E179" s="69"/>
      <c r="F179" s="69"/>
      <c r="G179" s="13"/>
      <c r="H179" s="69"/>
      <c r="AH179" s="120"/>
      <c r="AI179" s="120"/>
      <c r="AJ179" s="120"/>
      <c r="AK179" s="120"/>
    </row>
    <row r="180" spans="1:107" ht="15" customHeight="1" x14ac:dyDescent="0.25">
      <c r="A180" s="92" t="s">
        <v>52</v>
      </c>
      <c r="C180" s="35"/>
      <c r="D180" s="13"/>
      <c r="E180" s="69"/>
      <c r="F180" s="69"/>
      <c r="G180" s="13"/>
      <c r="H180" s="69"/>
      <c r="AH180" s="120"/>
      <c r="AI180" s="120"/>
      <c r="AJ180" s="120"/>
      <c r="AK180" s="120"/>
    </row>
    <row r="181" spans="1:107" s="112" customFormat="1" ht="15" x14ac:dyDescent="0.25">
      <c r="A181" s="105">
        <v>25049</v>
      </c>
      <c r="B181" s="106" t="s">
        <v>381</v>
      </c>
      <c r="C181" s="106" t="s">
        <v>382</v>
      </c>
      <c r="D181" s="106" t="s">
        <v>379</v>
      </c>
      <c r="E181" s="106"/>
      <c r="F181" s="106">
        <v>76903</v>
      </c>
      <c r="G181" s="106" t="s">
        <v>380</v>
      </c>
      <c r="H181" s="106">
        <v>12</v>
      </c>
      <c r="I181" s="106" t="s">
        <v>78</v>
      </c>
      <c r="J181" s="107" t="s">
        <v>480</v>
      </c>
      <c r="K181" s="107" t="s">
        <v>480</v>
      </c>
      <c r="L181" s="107" t="s">
        <v>480</v>
      </c>
      <c r="M181" s="107" t="s">
        <v>480</v>
      </c>
      <c r="N181" s="106" t="s">
        <v>483</v>
      </c>
      <c r="O181" s="106">
        <v>81</v>
      </c>
      <c r="P181" s="106">
        <v>0</v>
      </c>
      <c r="Q181" s="106">
        <v>81</v>
      </c>
      <c r="R181" s="106" t="s">
        <v>75</v>
      </c>
      <c r="S181" s="108">
        <v>1105000</v>
      </c>
      <c r="T181" s="108" t="s">
        <v>471</v>
      </c>
      <c r="U181" s="108" t="s">
        <v>477</v>
      </c>
      <c r="V181" s="109">
        <v>48451001401</v>
      </c>
      <c r="W181" s="109">
        <v>137</v>
      </c>
      <c r="X181" s="110">
        <v>17</v>
      </c>
      <c r="Y181" s="110">
        <v>4</v>
      </c>
      <c r="Z181" s="110">
        <v>8</v>
      </c>
      <c r="AA181" s="110">
        <v>4</v>
      </c>
      <c r="AB181" s="110">
        <v>0</v>
      </c>
      <c r="AC181" s="110">
        <v>1</v>
      </c>
      <c r="AD181" s="110">
        <v>171</v>
      </c>
      <c r="AE181" s="106"/>
      <c r="AF181" s="108">
        <v>14976.004165643266</v>
      </c>
      <c r="AG181" s="111" t="s">
        <v>510</v>
      </c>
      <c r="AH181" s="124"/>
      <c r="AI181" s="124"/>
      <c r="AJ181" s="124"/>
      <c r="AK181" s="124"/>
    </row>
    <row r="182" spans="1:107" ht="15" customHeight="1" x14ac:dyDescent="0.25">
      <c r="A182" s="91" t="s">
        <v>24</v>
      </c>
      <c r="B182" s="15"/>
      <c r="C182" s="63">
        <v>1154969.8063207737</v>
      </c>
      <c r="D182" s="70"/>
      <c r="E182" s="72"/>
      <c r="F182" s="69"/>
      <c r="G182" s="70"/>
      <c r="H182" s="72"/>
      <c r="I182" s="24"/>
      <c r="J182" s="22"/>
      <c r="K182" s="22"/>
      <c r="L182" s="22"/>
      <c r="M182" s="22"/>
      <c r="N182" s="16"/>
      <c r="O182" s="16"/>
      <c r="P182" s="16"/>
      <c r="Q182" s="16"/>
      <c r="R182" s="17" t="s">
        <v>20</v>
      </c>
      <c r="S182" s="41">
        <f>SUM(S181:S181)</f>
        <v>1105000</v>
      </c>
      <c r="T182" s="18"/>
      <c r="U182" s="16"/>
      <c r="V182" s="60"/>
      <c r="W182" s="16"/>
      <c r="X182" s="18"/>
      <c r="Y182" s="18"/>
      <c r="AC182" s="34"/>
      <c r="AD182" s="34"/>
      <c r="AE182"/>
      <c r="AF182" s="38"/>
      <c r="AG182" s="87"/>
      <c r="AH182" s="120"/>
      <c r="AI182" s="120"/>
      <c r="AJ182" s="120"/>
      <c r="AK182" s="120"/>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row>
    <row r="183" spans="1:107" ht="15" customHeight="1" x14ac:dyDescent="0.25">
      <c r="C183" s="35"/>
      <c r="D183" s="13"/>
      <c r="E183" s="69"/>
      <c r="F183" s="69"/>
      <c r="G183" s="13"/>
      <c r="H183" s="69"/>
      <c r="AH183" s="120"/>
      <c r="AI183" s="120"/>
      <c r="AJ183" s="120"/>
      <c r="AK183" s="120"/>
    </row>
    <row r="184" spans="1:107" ht="15" customHeight="1" x14ac:dyDescent="0.25">
      <c r="A184" s="92" t="s">
        <v>53</v>
      </c>
      <c r="C184" s="35"/>
      <c r="D184" s="13"/>
      <c r="E184" s="69"/>
      <c r="F184" s="69"/>
      <c r="G184" s="13"/>
      <c r="H184" s="69"/>
      <c r="AH184" s="120"/>
      <c r="AI184" s="120"/>
      <c r="AJ184" s="120"/>
      <c r="AK184" s="120"/>
    </row>
    <row r="185" spans="1:107" customFormat="1" ht="15" x14ac:dyDescent="0.25">
      <c r="A185" s="8">
        <v>25270</v>
      </c>
      <c r="B185" s="7" t="s">
        <v>383</v>
      </c>
      <c r="C185" s="7" t="s">
        <v>478</v>
      </c>
      <c r="D185" s="7" t="s">
        <v>479</v>
      </c>
      <c r="E185" s="13"/>
      <c r="F185" s="7">
        <v>79821</v>
      </c>
      <c r="G185" s="7" t="s">
        <v>384</v>
      </c>
      <c r="H185" s="7">
        <v>13</v>
      </c>
      <c r="I185" s="7" t="s">
        <v>71</v>
      </c>
      <c r="J185" s="21" t="s">
        <v>480</v>
      </c>
      <c r="K185" s="21" t="s">
        <v>480</v>
      </c>
      <c r="L185" s="21" t="s">
        <v>397</v>
      </c>
      <c r="M185" s="21" t="s">
        <v>481</v>
      </c>
      <c r="N185" s="7" t="s">
        <v>118</v>
      </c>
      <c r="O185" s="7">
        <v>40</v>
      </c>
      <c r="P185" s="7">
        <v>0</v>
      </c>
      <c r="Q185" s="7">
        <v>40</v>
      </c>
      <c r="R185" s="7" t="s">
        <v>75</v>
      </c>
      <c r="S185" s="42">
        <v>1125000</v>
      </c>
      <c r="T185" s="42" t="s">
        <v>385</v>
      </c>
      <c r="U185" s="42" t="s">
        <v>100</v>
      </c>
      <c r="V185" s="55">
        <v>48141010231</v>
      </c>
      <c r="W185" s="55">
        <v>91</v>
      </c>
      <c r="X185" s="37">
        <v>17</v>
      </c>
      <c r="Y185" s="37">
        <v>4</v>
      </c>
      <c r="Z185" s="37">
        <v>8</v>
      </c>
      <c r="AA185" s="37">
        <v>0</v>
      </c>
      <c r="AB185" s="37">
        <v>0</v>
      </c>
      <c r="AC185" s="37">
        <v>0</v>
      </c>
      <c r="AD185" s="37">
        <v>120</v>
      </c>
      <c r="AE185" s="7"/>
      <c r="AF185" s="42">
        <v>13275.277143475185</v>
      </c>
      <c r="AG185" s="87"/>
      <c r="AH185" s="120" t="s">
        <v>515</v>
      </c>
      <c r="AI185" s="21" t="s">
        <v>516</v>
      </c>
      <c r="AJ185" s="21" t="s">
        <v>516</v>
      </c>
      <c r="AK185" s="21" t="s">
        <v>516</v>
      </c>
    </row>
    <row r="186" spans="1:107" ht="15" customHeight="1" x14ac:dyDescent="0.25">
      <c r="A186" s="91" t="s">
        <v>24</v>
      </c>
      <c r="B186" s="15"/>
      <c r="C186" s="63">
        <v>750000</v>
      </c>
      <c r="D186" s="70"/>
      <c r="E186" s="72"/>
      <c r="F186" s="69"/>
      <c r="G186" s="70"/>
      <c r="H186" s="72"/>
      <c r="I186" s="24"/>
      <c r="J186" s="22"/>
      <c r="K186" s="22"/>
      <c r="L186" s="22"/>
      <c r="M186" s="22"/>
      <c r="N186" s="16"/>
      <c r="O186" s="16"/>
      <c r="P186" s="16"/>
      <c r="Q186" s="16"/>
      <c r="R186" s="17" t="s">
        <v>20</v>
      </c>
      <c r="S186" s="41">
        <f>SUM(S185:S185)</f>
        <v>1125000</v>
      </c>
      <c r="T186" s="18"/>
      <c r="U186" s="16"/>
      <c r="V186" s="60"/>
      <c r="W186" s="16"/>
      <c r="X186" s="18"/>
      <c r="Y186" s="18"/>
      <c r="AC186" s="34"/>
      <c r="AD186" s="34"/>
      <c r="AE186"/>
      <c r="AF186" s="38"/>
      <c r="AG186" s="87"/>
      <c r="AH186" s="120"/>
      <c r="AI186" s="120"/>
      <c r="AJ186" s="120"/>
      <c r="AK186" s="120"/>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row>
    <row r="187" spans="1:107" ht="15" customHeight="1" x14ac:dyDescent="0.25">
      <c r="C187" s="35"/>
      <c r="D187" s="13"/>
      <c r="E187" s="69"/>
      <c r="F187" s="69"/>
      <c r="G187" s="13"/>
      <c r="H187" s="69"/>
      <c r="AH187" s="120"/>
      <c r="AI187" s="120"/>
      <c r="AJ187" s="120"/>
      <c r="AK187" s="120"/>
    </row>
    <row r="188" spans="1:107" customFormat="1" ht="15" customHeight="1" x14ac:dyDescent="0.25">
      <c r="A188" s="92" t="s">
        <v>54</v>
      </c>
      <c r="B188" s="7"/>
      <c r="C188" s="35"/>
      <c r="D188" s="13"/>
      <c r="E188" s="69"/>
      <c r="F188" s="69"/>
      <c r="G188" s="13"/>
      <c r="H188" s="69"/>
      <c r="I188" s="7"/>
      <c r="J188" s="21"/>
      <c r="K188" s="21"/>
      <c r="L188" s="21"/>
      <c r="M188" s="21"/>
      <c r="N188" s="7"/>
      <c r="O188" s="7"/>
      <c r="P188" s="7"/>
      <c r="Q188" s="7"/>
      <c r="R188" s="7"/>
      <c r="S188" s="42"/>
      <c r="T188" s="7"/>
      <c r="U188" s="7"/>
      <c r="V188" s="55"/>
      <c r="W188" s="7"/>
      <c r="X188" s="8"/>
      <c r="Y188" s="8"/>
      <c r="Z188" s="8"/>
      <c r="AA188" s="35"/>
      <c r="AB188" s="35"/>
      <c r="AC188" s="34"/>
      <c r="AD188" s="34"/>
      <c r="AF188" s="38"/>
      <c r="AG188" s="87"/>
      <c r="AH188" s="120"/>
      <c r="AI188" s="120"/>
      <c r="AJ188" s="120"/>
      <c r="AK188" s="120"/>
    </row>
    <row r="189" spans="1:107" customFormat="1" ht="15" x14ac:dyDescent="0.25">
      <c r="A189" s="8">
        <v>25016</v>
      </c>
      <c r="B189" s="7" t="s">
        <v>386</v>
      </c>
      <c r="C189" s="7" t="s">
        <v>387</v>
      </c>
      <c r="D189" s="7" t="s">
        <v>384</v>
      </c>
      <c r="E189" s="13"/>
      <c r="F189" s="7">
        <v>79938</v>
      </c>
      <c r="G189" s="7" t="s">
        <v>384</v>
      </c>
      <c r="H189" s="7">
        <v>13</v>
      </c>
      <c r="I189" s="7" t="s">
        <v>78</v>
      </c>
      <c r="J189" s="21" t="s">
        <v>480</v>
      </c>
      <c r="K189" s="21" t="s">
        <v>480</v>
      </c>
      <c r="L189" s="21" t="s">
        <v>480</v>
      </c>
      <c r="M189" s="21" t="s">
        <v>481</v>
      </c>
      <c r="N189" s="7" t="s">
        <v>118</v>
      </c>
      <c r="O189" s="7">
        <v>70</v>
      </c>
      <c r="P189" s="7">
        <v>0</v>
      </c>
      <c r="Q189" s="7">
        <v>70</v>
      </c>
      <c r="R189" s="7" t="s">
        <v>72</v>
      </c>
      <c r="S189" s="42">
        <v>2000000</v>
      </c>
      <c r="T189" s="42" t="s">
        <v>261</v>
      </c>
      <c r="U189" s="42" t="s">
        <v>262</v>
      </c>
      <c r="V189" s="55">
        <v>48141010329</v>
      </c>
      <c r="W189" s="55">
        <v>137</v>
      </c>
      <c r="X189" s="37">
        <v>14</v>
      </c>
      <c r="Y189" s="37">
        <v>4</v>
      </c>
      <c r="Z189" s="37">
        <v>8</v>
      </c>
      <c r="AA189" s="37">
        <v>4</v>
      </c>
      <c r="AB189" s="37">
        <v>0</v>
      </c>
      <c r="AC189" s="37">
        <v>1</v>
      </c>
      <c r="AD189" s="37">
        <v>168</v>
      </c>
      <c r="AE189" s="7"/>
      <c r="AF189" s="42">
        <v>2243.7194261135096</v>
      </c>
      <c r="AG189" s="104" t="s">
        <v>506</v>
      </c>
      <c r="AH189" s="129" t="s">
        <v>521</v>
      </c>
      <c r="AI189" s="128"/>
      <c r="AJ189" s="128"/>
      <c r="AK189" s="128"/>
    </row>
    <row r="190" spans="1:107" customFormat="1" ht="15" x14ac:dyDescent="0.25">
      <c r="A190" s="8">
        <v>25042</v>
      </c>
      <c r="B190" s="7" t="s">
        <v>388</v>
      </c>
      <c r="C190" s="7" t="s">
        <v>389</v>
      </c>
      <c r="D190" s="7" t="s">
        <v>384</v>
      </c>
      <c r="E190" s="13"/>
      <c r="F190" s="7">
        <v>79938</v>
      </c>
      <c r="G190" s="7" t="s">
        <v>384</v>
      </c>
      <c r="H190" s="7">
        <v>13</v>
      </c>
      <c r="I190" s="7" t="s">
        <v>78</v>
      </c>
      <c r="J190" s="21" t="s">
        <v>480</v>
      </c>
      <c r="K190" s="21" t="s">
        <v>480</v>
      </c>
      <c r="L190" s="21" t="s">
        <v>480</v>
      </c>
      <c r="M190" s="21" t="s">
        <v>481</v>
      </c>
      <c r="N190" s="7" t="s">
        <v>118</v>
      </c>
      <c r="O190" s="7">
        <v>60</v>
      </c>
      <c r="P190" s="7">
        <v>0</v>
      </c>
      <c r="Q190" s="7">
        <v>60</v>
      </c>
      <c r="R190" s="7" t="s">
        <v>75</v>
      </c>
      <c r="S190" s="42">
        <v>2000000</v>
      </c>
      <c r="T190" s="42" t="s">
        <v>390</v>
      </c>
      <c r="U190" s="42" t="s">
        <v>391</v>
      </c>
      <c r="V190" s="55">
        <v>48141010369</v>
      </c>
      <c r="W190" s="55">
        <v>135</v>
      </c>
      <c r="X190" s="37">
        <v>14</v>
      </c>
      <c r="Y190" s="37">
        <v>4</v>
      </c>
      <c r="Z190" s="37">
        <v>8</v>
      </c>
      <c r="AA190" s="37">
        <v>4</v>
      </c>
      <c r="AB190" s="37">
        <v>0</v>
      </c>
      <c r="AC190" s="37">
        <v>0</v>
      </c>
      <c r="AD190" s="37">
        <v>165</v>
      </c>
      <c r="AE190" s="7"/>
      <c r="AF190" s="42">
        <v>19891.026015423238</v>
      </c>
      <c r="AG190" s="21"/>
      <c r="AH190" s="120"/>
      <c r="AI190" s="120"/>
      <c r="AJ190" s="120"/>
      <c r="AK190" s="120"/>
    </row>
    <row r="191" spans="1:107" customFormat="1" ht="15" x14ac:dyDescent="0.25">
      <c r="A191" s="8">
        <v>25043</v>
      </c>
      <c r="B191" s="7" t="s">
        <v>392</v>
      </c>
      <c r="C191" s="7" t="s">
        <v>393</v>
      </c>
      <c r="D191" s="7" t="s">
        <v>384</v>
      </c>
      <c r="E191" s="13"/>
      <c r="F191" s="7">
        <v>79938</v>
      </c>
      <c r="G191" s="7" t="s">
        <v>384</v>
      </c>
      <c r="H191" s="7">
        <v>13</v>
      </c>
      <c r="I191" s="7" t="s">
        <v>78</v>
      </c>
      <c r="J191" s="21" t="s">
        <v>480</v>
      </c>
      <c r="K191" s="21" t="s">
        <v>480</v>
      </c>
      <c r="L191" s="21" t="s">
        <v>480</v>
      </c>
      <c r="M191" s="21" t="s">
        <v>481</v>
      </c>
      <c r="N191" s="7" t="s">
        <v>118</v>
      </c>
      <c r="O191" s="7">
        <v>40</v>
      </c>
      <c r="P191" s="7">
        <v>0</v>
      </c>
      <c r="Q191" s="7">
        <v>40</v>
      </c>
      <c r="R191" s="7" t="s">
        <v>75</v>
      </c>
      <c r="S191" s="42">
        <v>1375000</v>
      </c>
      <c r="T191" s="42" t="s">
        <v>390</v>
      </c>
      <c r="U191" s="42" t="s">
        <v>391</v>
      </c>
      <c r="V191" s="55">
        <v>48141010368</v>
      </c>
      <c r="W191" s="55">
        <v>133</v>
      </c>
      <c r="X191" s="37">
        <v>14</v>
      </c>
      <c r="Y191" s="37">
        <v>4</v>
      </c>
      <c r="Z191" s="37">
        <v>8</v>
      </c>
      <c r="AA191" s="37">
        <v>4</v>
      </c>
      <c r="AB191" s="37">
        <v>0</v>
      </c>
      <c r="AC191" s="37">
        <v>0</v>
      </c>
      <c r="AD191" s="37">
        <v>163</v>
      </c>
      <c r="AE191" s="7"/>
      <c r="AF191" s="42">
        <v>12465.776586616053</v>
      </c>
      <c r="AG191" s="87"/>
      <c r="AH191" s="120"/>
      <c r="AI191" s="120"/>
      <c r="AJ191" s="120"/>
      <c r="AK191" s="120"/>
    </row>
    <row r="192" spans="1:107" customFormat="1" ht="15" x14ac:dyDescent="0.25">
      <c r="A192" s="8">
        <v>25044</v>
      </c>
      <c r="B192" s="7" t="s">
        <v>394</v>
      </c>
      <c r="C192" s="7" t="s">
        <v>395</v>
      </c>
      <c r="D192" s="7" t="s">
        <v>384</v>
      </c>
      <c r="E192" s="13"/>
      <c r="F192" s="7">
        <v>79936</v>
      </c>
      <c r="G192" s="7" t="s">
        <v>384</v>
      </c>
      <c r="H192" s="7">
        <v>13</v>
      </c>
      <c r="I192" s="7" t="s">
        <v>78</v>
      </c>
      <c r="J192" s="21" t="s">
        <v>480</v>
      </c>
      <c r="K192" s="21" t="s">
        <v>480</v>
      </c>
      <c r="L192" s="21" t="s">
        <v>480</v>
      </c>
      <c r="M192" s="21" t="s">
        <v>481</v>
      </c>
      <c r="N192" s="7" t="s">
        <v>118</v>
      </c>
      <c r="O192" s="7">
        <v>60</v>
      </c>
      <c r="P192" s="7">
        <v>0</v>
      </c>
      <c r="Q192" s="7">
        <v>60</v>
      </c>
      <c r="R192" s="7" t="s">
        <v>72</v>
      </c>
      <c r="S192" s="42">
        <v>1708000</v>
      </c>
      <c r="T192" s="42" t="s">
        <v>390</v>
      </c>
      <c r="U192" s="42" t="s">
        <v>391</v>
      </c>
      <c r="V192" s="55">
        <v>48141010311</v>
      </c>
      <c r="W192" s="55">
        <v>128</v>
      </c>
      <c r="X192" s="37">
        <v>14</v>
      </c>
      <c r="Y192" s="37">
        <v>4</v>
      </c>
      <c r="Z192" s="37">
        <v>8</v>
      </c>
      <c r="AA192" s="37">
        <v>4</v>
      </c>
      <c r="AB192" s="37">
        <v>0</v>
      </c>
      <c r="AC192" s="37">
        <v>0</v>
      </c>
      <c r="AD192" s="37">
        <v>158</v>
      </c>
      <c r="AE192" s="7"/>
      <c r="AF192" s="42">
        <v>14130.324319996125</v>
      </c>
      <c r="AG192" s="87"/>
      <c r="AH192" s="120"/>
      <c r="AI192" s="120"/>
      <c r="AJ192" s="120"/>
      <c r="AK192" s="120"/>
    </row>
    <row r="193" spans="1:107" ht="15" x14ac:dyDescent="0.25">
      <c r="A193" s="91" t="s">
        <v>24</v>
      </c>
      <c r="B193" s="15"/>
      <c r="C193" s="66">
        <v>3175500.4575380986</v>
      </c>
      <c r="D193" s="70"/>
      <c r="E193" s="72"/>
      <c r="F193" s="70"/>
      <c r="G193" s="70"/>
      <c r="H193" s="72"/>
      <c r="I193" s="24"/>
      <c r="J193" s="22"/>
      <c r="K193" s="22"/>
      <c r="L193" s="22"/>
      <c r="M193" s="22"/>
      <c r="N193" s="16"/>
      <c r="O193" s="16"/>
      <c r="P193" s="16"/>
      <c r="Q193" s="16"/>
      <c r="R193" s="17" t="s">
        <v>20</v>
      </c>
      <c r="S193" s="41">
        <f>SUM(S189:S192)</f>
        <v>7083000</v>
      </c>
      <c r="T193" s="18"/>
      <c r="U193" s="16"/>
      <c r="V193" s="60"/>
      <c r="W193" s="16"/>
      <c r="X193" s="18"/>
      <c r="Y193" s="18"/>
      <c r="AC193" s="34"/>
      <c r="AD193" s="34"/>
      <c r="AE193"/>
      <c r="AF193" s="38"/>
      <c r="AG193" s="87"/>
      <c r="AH193" s="120"/>
      <c r="AI193" s="120"/>
      <c r="AJ193" s="120"/>
      <c r="AK193" s="120"/>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row>
    <row r="194" spans="1:107" ht="15" x14ac:dyDescent="0.25">
      <c r="C194" s="67"/>
      <c r="D194" s="13"/>
      <c r="E194" s="69"/>
      <c r="F194" s="13"/>
      <c r="G194" s="13"/>
      <c r="H194" s="69"/>
      <c r="AH194" s="120"/>
      <c r="AI194" s="120"/>
      <c r="AJ194" s="120"/>
      <c r="AK194" s="120"/>
    </row>
    <row r="195" spans="1:107" ht="15" customHeight="1" x14ac:dyDescent="0.25">
      <c r="A195" s="93" t="s">
        <v>59</v>
      </c>
      <c r="B195" s="25"/>
      <c r="C195" s="68">
        <v>99093763</v>
      </c>
      <c r="D195" s="71" t="s">
        <v>398</v>
      </c>
      <c r="E195" s="79"/>
      <c r="F195" s="71">
        <v>97</v>
      </c>
      <c r="G195" s="71"/>
      <c r="H195" s="79"/>
      <c r="I195" s="25"/>
      <c r="J195" s="27"/>
      <c r="K195" s="130" t="s">
        <v>55</v>
      </c>
      <c r="L195" s="130"/>
      <c r="M195" s="130"/>
      <c r="N195" s="130"/>
      <c r="O195" s="130"/>
      <c r="P195" s="130"/>
      <c r="Q195" s="130"/>
      <c r="R195" s="130"/>
      <c r="S195" s="44">
        <f>S193+S186+S182+S178+S173+S165+S160+S155+S148+S135+S131+S125+S119+S113+S108+S94+S90+S85+S81+S77+S71+S52+S47+S43+S39+S34+S29</f>
        <v>154973051.56792402</v>
      </c>
      <c r="T195" s="26"/>
      <c r="AH195" s="120"/>
      <c r="AI195" s="120"/>
      <c r="AJ195" s="120"/>
      <c r="AK195" s="120"/>
    </row>
    <row r="196" spans="1:107" ht="15" x14ac:dyDescent="0.25">
      <c r="C196" s="13"/>
      <c r="D196" s="13"/>
      <c r="E196" s="69"/>
      <c r="F196" s="13"/>
      <c r="G196" s="13"/>
      <c r="H196" s="69"/>
      <c r="AH196" s="120"/>
      <c r="AI196" s="120"/>
      <c r="AJ196" s="120"/>
      <c r="AK196" s="120"/>
    </row>
    <row r="197" spans="1:107" ht="15" x14ac:dyDescent="0.25">
      <c r="AH197" s="120"/>
      <c r="AI197" s="120"/>
      <c r="AJ197" s="120"/>
      <c r="AK197" s="120"/>
    </row>
    <row r="198" spans="1:107" ht="15" x14ac:dyDescent="0.25">
      <c r="AH198" s="120"/>
      <c r="AI198" s="87"/>
      <c r="AJ198" s="87"/>
      <c r="AK198" s="87"/>
    </row>
    <row r="199" spans="1:107" ht="15" x14ac:dyDescent="0.25">
      <c r="AH199" s="120"/>
      <c r="AI199" s="87"/>
      <c r="AJ199" s="87"/>
      <c r="AK199" s="87"/>
    </row>
    <row r="200" spans="1:107" ht="15" x14ac:dyDescent="0.25">
      <c r="AH200" s="122"/>
      <c r="AI200" s="123"/>
      <c r="AJ200" s="123"/>
      <c r="AK200" s="123"/>
    </row>
    <row r="201" spans="1:107" ht="15" x14ac:dyDescent="0.25">
      <c r="AH201" s="120"/>
      <c r="AI201" s="87"/>
      <c r="AJ201" s="87"/>
      <c r="AK201" s="87"/>
    </row>
    <row r="202" spans="1:107" x14ac:dyDescent="0.2">
      <c r="B202" s="8"/>
      <c r="C202" s="8"/>
    </row>
    <row r="203" spans="1:107" x14ac:dyDescent="0.2">
      <c r="B203" s="8"/>
      <c r="C203" s="8"/>
    </row>
    <row r="204" spans="1:107" x14ac:dyDescent="0.2">
      <c r="B204" s="8"/>
      <c r="C204" s="8"/>
    </row>
    <row r="205" spans="1:107" x14ac:dyDescent="0.2">
      <c r="B205" s="8"/>
      <c r="C205" s="8"/>
    </row>
    <row r="206" spans="1:107" x14ac:dyDescent="0.2">
      <c r="B206" s="8"/>
      <c r="C206" s="8"/>
    </row>
    <row r="207" spans="1:107" x14ac:dyDescent="0.2">
      <c r="B207" s="8"/>
      <c r="C207" s="8"/>
    </row>
    <row r="208" spans="1:107" x14ac:dyDescent="0.2">
      <c r="B208" s="8"/>
      <c r="C208" s="8"/>
    </row>
    <row r="209" spans="2:3" x14ac:dyDescent="0.2">
      <c r="B209" s="8"/>
      <c r="C209" s="8"/>
    </row>
    <row r="210" spans="2:3" x14ac:dyDescent="0.2">
      <c r="B210" s="8"/>
      <c r="C210" s="8"/>
    </row>
    <row r="211" spans="2:3" x14ac:dyDescent="0.2">
      <c r="B211" s="8"/>
      <c r="C211" s="8"/>
    </row>
    <row r="212" spans="2:3" x14ac:dyDescent="0.2">
      <c r="B212" s="8"/>
      <c r="C212" s="8"/>
    </row>
    <row r="213" spans="2:3" x14ac:dyDescent="0.2">
      <c r="B213" s="8"/>
      <c r="C213" s="8"/>
    </row>
    <row r="214" spans="2:3" x14ac:dyDescent="0.2">
      <c r="B214" s="8"/>
      <c r="C214" s="8"/>
    </row>
    <row r="215" spans="2:3" x14ac:dyDescent="0.2">
      <c r="B215" s="8"/>
      <c r="C215" s="8"/>
    </row>
    <row r="216" spans="2:3" x14ac:dyDescent="0.2">
      <c r="B216" s="8"/>
      <c r="C216" s="8"/>
    </row>
    <row r="217" spans="2:3" x14ac:dyDescent="0.2">
      <c r="B217" s="8"/>
      <c r="C217" s="8"/>
    </row>
    <row r="218" spans="2:3" x14ac:dyDescent="0.2">
      <c r="B218" s="8"/>
      <c r="C218" s="8"/>
    </row>
    <row r="219" spans="2:3" x14ac:dyDescent="0.2">
      <c r="B219" s="8"/>
      <c r="C219" s="8"/>
    </row>
    <row r="220" spans="2:3" x14ac:dyDescent="0.2">
      <c r="B220" s="8"/>
      <c r="C220" s="8"/>
    </row>
    <row r="221" spans="2:3" x14ac:dyDescent="0.2">
      <c r="B221" s="8"/>
      <c r="C221" s="8"/>
    </row>
    <row r="222" spans="2:3" x14ac:dyDescent="0.2">
      <c r="B222" s="8"/>
      <c r="C222" s="8"/>
    </row>
    <row r="223" spans="2:3" x14ac:dyDescent="0.2">
      <c r="B223" s="8"/>
      <c r="C223" s="8"/>
    </row>
    <row r="224" spans="2:3" x14ac:dyDescent="0.2">
      <c r="B224" s="8"/>
      <c r="C224" s="8"/>
    </row>
    <row r="225" spans="2:3" x14ac:dyDescent="0.2">
      <c r="B225" s="8"/>
      <c r="C225" s="8"/>
    </row>
    <row r="226" spans="2:3" x14ac:dyDescent="0.2">
      <c r="B226" s="8"/>
      <c r="C226" s="8"/>
    </row>
    <row r="227" spans="2:3" x14ac:dyDescent="0.2">
      <c r="B227" s="8"/>
      <c r="C227" s="8"/>
    </row>
    <row r="228" spans="2:3" x14ac:dyDescent="0.2">
      <c r="B228" s="8"/>
      <c r="C228" s="8"/>
    </row>
    <row r="229" spans="2:3" x14ac:dyDescent="0.2">
      <c r="B229" s="8"/>
      <c r="C229" s="8"/>
    </row>
    <row r="230" spans="2:3" x14ac:dyDescent="0.2">
      <c r="B230" s="8"/>
      <c r="C230" s="8"/>
    </row>
    <row r="231" spans="2:3" x14ac:dyDescent="0.2">
      <c r="B231" s="8"/>
      <c r="C231" s="8"/>
    </row>
    <row r="232" spans="2:3" x14ac:dyDescent="0.2">
      <c r="B232" s="8"/>
      <c r="C232" s="8"/>
    </row>
    <row r="233" spans="2:3" x14ac:dyDescent="0.2">
      <c r="B233" s="8"/>
      <c r="C233" s="8"/>
    </row>
    <row r="234" spans="2:3" x14ac:dyDescent="0.2">
      <c r="B234" s="8"/>
      <c r="C234" s="8"/>
    </row>
    <row r="235" spans="2:3" x14ac:dyDescent="0.2">
      <c r="B235" s="8"/>
      <c r="C235" s="8"/>
    </row>
    <row r="236" spans="2:3" x14ac:dyDescent="0.2">
      <c r="B236" s="8"/>
      <c r="C236" s="8"/>
    </row>
    <row r="237" spans="2:3" x14ac:dyDescent="0.2">
      <c r="B237" s="8"/>
      <c r="C237" s="8"/>
    </row>
    <row r="238" spans="2:3" x14ac:dyDescent="0.2">
      <c r="B238" s="8"/>
      <c r="C238" s="8"/>
    </row>
    <row r="239" spans="2:3" x14ac:dyDescent="0.2">
      <c r="B239" s="8"/>
      <c r="C239" s="8"/>
    </row>
    <row r="240" spans="2:3" x14ac:dyDescent="0.2">
      <c r="B240" s="8"/>
      <c r="C240" s="8"/>
    </row>
    <row r="241" spans="2:3" x14ac:dyDescent="0.2">
      <c r="B241" s="8"/>
      <c r="C241" s="8"/>
    </row>
    <row r="242" spans="2:3" x14ac:dyDescent="0.2">
      <c r="B242" s="8"/>
      <c r="C242" s="8"/>
    </row>
    <row r="243" spans="2:3" x14ac:dyDescent="0.2">
      <c r="B243" s="8"/>
      <c r="C243" s="8"/>
    </row>
    <row r="244" spans="2:3" x14ac:dyDescent="0.2">
      <c r="B244" s="8"/>
      <c r="C244" s="8"/>
    </row>
    <row r="245" spans="2:3" x14ac:dyDescent="0.2">
      <c r="B245" s="8"/>
      <c r="C245" s="8"/>
    </row>
    <row r="246" spans="2:3" x14ac:dyDescent="0.2">
      <c r="B246" s="8"/>
      <c r="C246" s="8"/>
    </row>
    <row r="247" spans="2:3" x14ac:dyDescent="0.2">
      <c r="B247" s="8"/>
      <c r="C247" s="8"/>
    </row>
    <row r="248" spans="2:3" x14ac:dyDescent="0.2">
      <c r="B248" s="8"/>
      <c r="C248" s="8"/>
    </row>
    <row r="249" spans="2:3" x14ac:dyDescent="0.2">
      <c r="B249" s="8"/>
      <c r="C249" s="8"/>
    </row>
    <row r="250" spans="2:3" x14ac:dyDescent="0.2">
      <c r="B250" s="8"/>
      <c r="C250" s="8"/>
    </row>
    <row r="251" spans="2:3" x14ac:dyDescent="0.2">
      <c r="B251" s="8"/>
      <c r="C251" s="8"/>
    </row>
    <row r="252" spans="2:3" x14ac:dyDescent="0.2">
      <c r="B252" s="8"/>
      <c r="C252" s="8"/>
    </row>
    <row r="253" spans="2:3" x14ac:dyDescent="0.2">
      <c r="B253" s="8"/>
      <c r="C253" s="8"/>
    </row>
    <row r="254" spans="2:3" x14ac:dyDescent="0.2">
      <c r="B254" s="8"/>
      <c r="C254" s="8"/>
    </row>
    <row r="255" spans="2:3" x14ac:dyDescent="0.2">
      <c r="B255" s="8"/>
      <c r="C255" s="8"/>
    </row>
    <row r="256" spans="2:3" x14ac:dyDescent="0.2">
      <c r="B256" s="8"/>
      <c r="C256" s="8"/>
    </row>
    <row r="257" spans="2:3" x14ac:dyDescent="0.2">
      <c r="B257" s="8"/>
      <c r="C257" s="8"/>
    </row>
    <row r="258" spans="2:3" x14ac:dyDescent="0.2">
      <c r="B258" s="8"/>
      <c r="C258" s="8"/>
    </row>
    <row r="259" spans="2:3" x14ac:dyDescent="0.2">
      <c r="B259" s="8"/>
      <c r="C259" s="8"/>
    </row>
    <row r="260" spans="2:3" x14ac:dyDescent="0.2">
      <c r="B260" s="8"/>
      <c r="C260" s="8"/>
    </row>
    <row r="261" spans="2:3" x14ac:dyDescent="0.2">
      <c r="B261" s="8"/>
      <c r="C261" s="8"/>
    </row>
    <row r="262" spans="2:3" x14ac:dyDescent="0.2">
      <c r="B262" s="8"/>
      <c r="C262" s="8"/>
    </row>
    <row r="263" spans="2:3" x14ac:dyDescent="0.2">
      <c r="B263" s="8"/>
      <c r="C263" s="8"/>
    </row>
    <row r="264" spans="2:3" x14ac:dyDescent="0.2">
      <c r="B264" s="8"/>
      <c r="C264" s="8"/>
    </row>
    <row r="265" spans="2:3" x14ac:dyDescent="0.2">
      <c r="B265" s="8"/>
      <c r="C265" s="8"/>
    </row>
    <row r="266" spans="2:3" x14ac:dyDescent="0.2">
      <c r="B266" s="8"/>
      <c r="C266" s="8"/>
    </row>
    <row r="267" spans="2:3" x14ac:dyDescent="0.2">
      <c r="B267" s="8"/>
      <c r="C267" s="8"/>
    </row>
    <row r="268" spans="2:3" x14ac:dyDescent="0.2">
      <c r="B268" s="8"/>
      <c r="C268" s="8"/>
    </row>
    <row r="269" spans="2:3" x14ac:dyDescent="0.2">
      <c r="B269" s="8"/>
      <c r="C269" s="8"/>
    </row>
    <row r="270" spans="2:3" x14ac:dyDescent="0.2">
      <c r="B270" s="8"/>
      <c r="C270" s="8"/>
    </row>
    <row r="271" spans="2:3" x14ac:dyDescent="0.2">
      <c r="B271" s="8"/>
      <c r="C271" s="8"/>
    </row>
  </sheetData>
  <sheetProtection formatCells="0" formatColumns="0" formatRows="0" insertColumns="0" insertRows="0" insertHyperlinks="0" deleteColumns="0" deleteRows="0" sort="0" autoFilter="0" pivotTables="0"/>
  <autoFilter ref="AH11:AK197" xr:uid="{00000000-0001-0000-0000-000000000000}"/>
  <sortState xmlns:xlrd2="http://schemas.microsoft.com/office/spreadsheetml/2017/richdata2" ref="A50:DC51">
    <sortCondition ref="A50:A51"/>
  </sortState>
  <mergeCells count="5">
    <mergeCell ref="K195:R195"/>
    <mergeCell ref="A10:B10"/>
    <mergeCell ref="D10:U10"/>
    <mergeCell ref="S7:V9"/>
    <mergeCell ref="A6:M9"/>
  </mergeCells>
  <phoneticPr fontId="17" type="noConversion"/>
  <conditionalFormatting sqref="C202:C271">
    <cfRule type="duplicateValues" dxfId="0" priority="1"/>
  </conditionalFormatting>
  <pageMargins left="0.5" right="0.3" top="0.4" bottom="0.4" header="0.3" footer="0.3"/>
  <pageSetup paperSize="5" scale="52" fitToHeight="6" orientation="landscape" r:id="rId1"/>
  <rowBreaks count="4" manualBreakCount="4">
    <brk id="52" max="36" man="1"/>
    <brk id="78" max="36" man="1"/>
    <brk id="101" max="36" man="1"/>
    <brk id="178" max="3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32076-DB19-46AD-9500-0A6EB552F11B}">
  <dimension ref="A1:D14"/>
  <sheetViews>
    <sheetView workbookViewId="0">
      <selection activeCell="C24" sqref="C24"/>
    </sheetView>
  </sheetViews>
  <sheetFormatPr defaultRowHeight="15" x14ac:dyDescent="0.25"/>
  <cols>
    <col min="1" max="1" width="16.140625" customWidth="1"/>
    <col min="2" max="2" width="24.7109375" customWidth="1"/>
    <col min="3" max="4" width="16.140625" customWidth="1"/>
  </cols>
  <sheetData>
    <row r="1" spans="1:4" ht="20.25" x14ac:dyDescent="0.3">
      <c r="A1" s="135" t="s">
        <v>496</v>
      </c>
      <c r="B1" s="135"/>
      <c r="C1" s="135"/>
      <c r="D1" s="135"/>
    </row>
    <row r="2" spans="1:4" x14ac:dyDescent="0.25">
      <c r="A2" s="136" t="s">
        <v>497</v>
      </c>
      <c r="B2" s="136"/>
      <c r="C2" s="136"/>
      <c r="D2" s="136"/>
    </row>
    <row r="3" spans="1:4" x14ac:dyDescent="0.25">
      <c r="A3" s="136"/>
      <c r="B3" s="136"/>
      <c r="C3" s="136"/>
      <c r="D3" s="136"/>
    </row>
    <row r="4" spans="1:4" x14ac:dyDescent="0.25">
      <c r="A4" s="136"/>
      <c r="B4" s="136"/>
      <c r="C4" s="136"/>
      <c r="D4" s="136"/>
    </row>
    <row r="5" spans="1:4" x14ac:dyDescent="0.25">
      <c r="A5" s="136"/>
      <c r="B5" s="136"/>
      <c r="C5" s="136"/>
      <c r="D5" s="136"/>
    </row>
    <row r="6" spans="1:4" x14ac:dyDescent="0.25">
      <c r="A6" s="84"/>
      <c r="B6" s="84"/>
      <c r="C6" s="84"/>
      <c r="D6" s="84"/>
    </row>
    <row r="7" spans="1:4" x14ac:dyDescent="0.25">
      <c r="A7" s="97" t="s">
        <v>0</v>
      </c>
      <c r="B7" s="98" t="s">
        <v>2</v>
      </c>
      <c r="C7" s="98" t="s">
        <v>498</v>
      </c>
      <c r="D7" s="99" t="s">
        <v>499</v>
      </c>
    </row>
    <row r="8" spans="1:4" x14ac:dyDescent="0.25">
      <c r="A8" s="100">
        <v>22153</v>
      </c>
      <c r="B8" s="100" t="s">
        <v>501</v>
      </c>
      <c r="C8" s="101">
        <v>913000</v>
      </c>
      <c r="D8" s="102">
        <v>45786</v>
      </c>
    </row>
    <row r="9" spans="1:4" x14ac:dyDescent="0.25">
      <c r="A9" s="100">
        <v>23094</v>
      </c>
      <c r="B9" s="100" t="s">
        <v>502</v>
      </c>
      <c r="C9" s="101">
        <v>924600</v>
      </c>
      <c r="D9" s="102">
        <v>45786</v>
      </c>
    </row>
    <row r="10" spans="1:4" x14ac:dyDescent="0.25">
      <c r="A10" s="100">
        <v>22120</v>
      </c>
      <c r="B10" s="100" t="s">
        <v>503</v>
      </c>
      <c r="C10" s="101">
        <v>716</v>
      </c>
      <c r="D10" s="102">
        <v>45786</v>
      </c>
    </row>
    <row r="11" spans="1:4" x14ac:dyDescent="0.25">
      <c r="A11" s="100">
        <v>22019</v>
      </c>
      <c r="B11" s="100" t="s">
        <v>500</v>
      </c>
      <c r="C11" s="101">
        <v>6786</v>
      </c>
      <c r="D11" s="102">
        <v>45806</v>
      </c>
    </row>
    <row r="12" spans="1:4" x14ac:dyDescent="0.25">
      <c r="A12" s="100">
        <v>21181</v>
      </c>
      <c r="B12" s="100" t="s">
        <v>504</v>
      </c>
      <c r="C12" s="101">
        <v>119563</v>
      </c>
      <c r="D12" s="102">
        <v>45819</v>
      </c>
    </row>
    <row r="13" spans="1:4" x14ac:dyDescent="0.25">
      <c r="A13" s="100">
        <v>24024</v>
      </c>
      <c r="B13" s="100" t="s">
        <v>505</v>
      </c>
      <c r="C13" s="101">
        <v>2000000</v>
      </c>
      <c r="D13" s="102">
        <v>45824</v>
      </c>
    </row>
    <row r="14" spans="1:4" x14ac:dyDescent="0.25">
      <c r="C14" s="103"/>
    </row>
  </sheetData>
  <sortState xmlns:xlrd2="http://schemas.microsoft.com/office/spreadsheetml/2017/richdata2" ref="A8:D13">
    <sortCondition ref="D8:D13"/>
  </sortState>
  <mergeCells count="2">
    <mergeCell ref="A1:D1"/>
    <mergeCell ref="A2:D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Submissions</vt:lpstr>
      <vt:lpstr>Credit Returns</vt:lpstr>
      <vt:lpstr>Submissions!Print_Area</vt:lpstr>
      <vt:lpstr>Submissions!Print_Titles</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2020 9% Housing Tax Credit Pre-Application Log (XLSX) (January 17)</dc:title>
  <dc:subject>2018 Competitive HTC Pre-Application Submissions</dc:subject>
  <dc:creator>TDHCA</dc:creator>
  <cp:keywords>2020 9% Housing Tax Credit Pre-Application Log (XLSX) (January 17)</cp:keywords>
  <dc:description>2018 Competitive HTC Pre-Application Submissions received at jotform.com 1515539489</dc:description>
  <cp:lastModifiedBy>Joshua Goldberger</cp:lastModifiedBy>
  <cp:lastPrinted>2025-03-06T15:46:49Z</cp:lastPrinted>
  <dcterms:created xsi:type="dcterms:W3CDTF">2018-01-09T23:11:29Z</dcterms:created>
  <dcterms:modified xsi:type="dcterms:W3CDTF">2025-07-18T15:26:39Z</dcterms:modified>
  <cp:category>2020 9HTC preapps</cp:category>
</cp:coreProperties>
</file>