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Y:\Projects\2025 Round\2025 9% Funding Round\00. Memos (NOFA, LOI Templates, etc)\"/>
    </mc:Choice>
  </mc:AlternateContent>
  <xr:revisionPtr revIDLastSave="0" documentId="13_ncr:1_{6E2B2D9D-641D-40C9-98FC-0225A4292BFD}" xr6:coauthVersionLast="47" xr6:coauthVersionMax="47" xr10:uidLastSave="{00000000-0000-0000-0000-000000000000}"/>
  <bookViews>
    <workbookView xWindow="-110" yWindow="-110" windowWidth="19420" windowHeight="11500" xr2:uid="{F891749B-82E3-4F18-97DC-12DC3F90FF74}"/>
  </bookViews>
  <sheets>
    <sheet name="9%" sheetId="1" r:id="rId1"/>
    <sheet name="4%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6" i="1" l="1"/>
  <c r="H16" i="1"/>
  <c r="G16" i="1"/>
  <c r="J5" i="2"/>
  <c r="I5" i="2"/>
  <c r="H5" i="2"/>
  <c r="G5" i="2"/>
  <c r="J16" i="1" l="1"/>
</calcChain>
</file>

<file path=xl/sharedStrings.xml><?xml version="1.0" encoding="utf-8"?>
<sst xmlns="http://schemas.openxmlformats.org/spreadsheetml/2006/main" count="92" uniqueCount="50">
  <si>
    <t>Developer</t>
  </si>
  <si>
    <t>Project Name</t>
  </si>
  <si>
    <t>Location</t>
  </si>
  <si>
    <t>Development Type</t>
  </si>
  <si>
    <t>HOME</t>
  </si>
  <si>
    <t>NHTF</t>
  </si>
  <si>
    <t>TAX CREDIT</t>
  </si>
  <si>
    <t>New Constuction</t>
  </si>
  <si>
    <t>Cheyenne</t>
  </si>
  <si>
    <t>Acq/Rehab</t>
  </si>
  <si>
    <t>Powell</t>
  </si>
  <si>
    <t>Haan Development</t>
  </si>
  <si>
    <t>Laramie</t>
  </si>
  <si>
    <t>Overland Property Group</t>
  </si>
  <si>
    <t>Summit Housing Group</t>
  </si>
  <si>
    <t>The Summit at Prosser Townhomes</t>
  </si>
  <si>
    <t>Rawlins</t>
  </si>
  <si>
    <t>4% Bond Request</t>
  </si>
  <si>
    <t>Units</t>
  </si>
  <si>
    <t>Project Type</t>
  </si>
  <si>
    <t>Family</t>
  </si>
  <si>
    <t>Housing Solutions</t>
  </si>
  <si>
    <t>McKinney Crossing</t>
  </si>
  <si>
    <t>Buffalo</t>
  </si>
  <si>
    <t>W-Homes</t>
  </si>
  <si>
    <t>Apex South Beverly</t>
  </si>
  <si>
    <t>Casper</t>
  </si>
  <si>
    <t>Pioneer Village III</t>
  </si>
  <si>
    <t>Cody</t>
  </si>
  <si>
    <t>Evanston Chief Washakie Apartments</t>
  </si>
  <si>
    <t>Evanston</t>
  </si>
  <si>
    <t>Northwest Real Estate Captial Corp</t>
  </si>
  <si>
    <t>LaBonte Square Apartments</t>
  </si>
  <si>
    <t>New Construction</t>
  </si>
  <si>
    <t>CR Builders</t>
  </si>
  <si>
    <t>Powell Meadowlark</t>
  </si>
  <si>
    <t>Ide Companies</t>
  </si>
  <si>
    <t>Cathy Gardens</t>
  </si>
  <si>
    <t>The Preserve at Stagecoach</t>
  </si>
  <si>
    <t>The Gardens at White Mountain</t>
  </si>
  <si>
    <t>Rock Springs</t>
  </si>
  <si>
    <t>2025 9% Funding Round - Applications Received</t>
  </si>
  <si>
    <t>2025 4% ONLY Funding Round - Applications Received</t>
  </si>
  <si>
    <t>Lincoln Avenue Communities</t>
  </si>
  <si>
    <t>Pershing Pointe</t>
  </si>
  <si>
    <t>Grimshaw Investments</t>
  </si>
  <si>
    <t>Teal Springs</t>
  </si>
  <si>
    <t>Sheridan</t>
  </si>
  <si>
    <t>Senior</t>
  </si>
  <si>
    <t>Shoshone Ridge Apartments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</si>
</sst>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entury Gothic"/>
      <family val="2"/>
    </font>
    <font>
      <sz val="11"/>
      <color theme="1"/>
      <name val="Century Gothic"/>
      <family val="2"/>
    </font>
    <font>
      <sz val="18"/>
      <color theme="0"/>
      <name val="Century Gothic"/>
      <family val="2"/>
    </font>
    <font>
      <b/>
      <sz val="11"/>
      <color theme="1"/>
      <name val="Century Gothic"/>
      <family val="2"/>
    </font>
    <font>
      <b/>
      <sz val="8"/>
      <color theme="1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34407B"/>
        <bgColor indexed="64"/>
      </patternFill>
    </fill>
    <fill>
      <patternFill patternType="solid">
        <fgColor rgb="FFFFB316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theme="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</cellStyleXfs>
  <cellXfs count="19">
    <xf numFmtId="0" fontId="0" fillId="0" borderId="0" xfId="0"/>
    <xf numFmtId="0" fontId="3" fillId="0" borderId="0" xfId="0" applyFont="1" applyAlignment="1">
      <alignment horizontal="center"/>
    </xf>
    <xf numFmtId="164" fontId="3" fillId="0" borderId="0" xfId="1" applyNumberFormat="1" applyFont="1" applyAlignment="1">
      <alignment horizontal="center"/>
    </xf>
    <xf numFmtId="0" fontId="3" fillId="0" borderId="0" xfId="0" applyFont="1" applyAlignment="1">
      <alignment horizontal="center" wrapText="1"/>
    </xf>
    <xf numFmtId="0" fontId="3" fillId="3" borderId="0" xfId="0" applyFont="1" applyFill="1" applyAlignment="1">
      <alignment horizontal="center"/>
    </xf>
    <xf numFmtId="0" fontId="4" fillId="0" borderId="0" xfId="0" applyFont="1"/>
    <xf numFmtId="0" fontId="6" fillId="0" borderId="2" xfId="2" applyFont="1" applyBorder="1"/>
    <xf numFmtId="44" fontId="6" fillId="0" borderId="2" xfId="2" applyNumberFormat="1" applyFont="1" applyBorder="1"/>
    <xf numFmtId="0" fontId="7" fillId="0" borderId="0" xfId="0" applyFont="1"/>
    <xf numFmtId="0" fontId="3" fillId="0" borderId="0" xfId="0" applyFont="1"/>
    <xf numFmtId="164" fontId="6" fillId="0" borderId="2" xfId="2" applyNumberFormat="1" applyFont="1" applyBorder="1"/>
    <xf numFmtId="0" fontId="3" fillId="0" borderId="0" xfId="0" applyFont="1" applyAlignment="1">
      <alignment horizontal="center" vertical="center"/>
    </xf>
    <xf numFmtId="164" fontId="3" fillId="0" borderId="0" xfId="1" applyNumberFormat="1" applyFont="1" applyAlignment="1">
      <alignment horizontal="center" vertical="center"/>
    </xf>
    <xf numFmtId="164" fontId="3" fillId="4" borderId="0" xfId="1" applyNumberFormat="1" applyFont="1" applyFill="1" applyAlignment="1">
      <alignment horizontal="center"/>
    </xf>
    <xf numFmtId="164" fontId="3" fillId="4" borderId="0" xfId="1" applyNumberFormat="1" applyFont="1" applyFill="1" applyAlignment="1">
      <alignment horizontal="center" vertical="center"/>
    </xf>
    <xf numFmtId="164" fontId="3" fillId="0" borderId="0" xfId="1" applyNumberFormat="1" applyFont="1" applyFill="1" applyAlignment="1">
      <alignment horizontal="center"/>
    </xf>
    <xf numFmtId="164" fontId="3" fillId="0" borderId="0" xfId="1" applyNumberFormat="1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44" fontId="0" fillId="0" borderId="2" xfId="2" applyNumberFormat="1" applyFont="1" applyBorder="1"/>
  </cellXfs>
  <cellStyles count="3">
    <cellStyle name="Currency" xfId="1" builtinId="4"/>
    <cellStyle name="Normal" xfId="0" builtinId="0"/>
    <cellStyle name="Total" xfId="2" builtinId="25"/>
  </cellStyles>
  <dxfs count="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Gothic"/>
        <family val="2"/>
        <scheme val="none"/>
      </font>
      <numFmt numFmtId="164" formatCode="_(&quot;$&quot;* #,##0_);_(&quot;$&quot;* \(#,##0\);_(&quot;$&quot;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Gothic"/>
        <family val="2"/>
        <scheme val="none"/>
      </font>
      <numFmt numFmtId="164" formatCode="_(&quot;$&quot;* #,##0_);_(&quot;$&quot;* \(#,##0\);_(&quot;$&quot;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Gothic"/>
        <family val="2"/>
        <scheme val="none"/>
      </font>
      <numFmt numFmtId="164" formatCode="_(&quot;$&quot;* #,##0_);_(&quot;$&quot;* \(#,##0\);_(&quot;$&quot;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Gothic"/>
        <family val="2"/>
        <scheme val="none"/>
      </font>
      <numFmt numFmtId="164" formatCode="_(&quot;$&quot;* #,##0_);_(&quot;$&quot;* \(#,##0\);_(&quot;$&quot;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rgb="FF4472C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Gothic"/>
        <family val="2"/>
        <scheme val="none"/>
      </font>
      <fill>
        <patternFill patternType="solid">
          <fgColor indexed="64"/>
          <bgColor rgb="FFFFB316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Gothic"/>
        <family val="2"/>
        <scheme val="none"/>
      </font>
      <numFmt numFmtId="164" formatCode="_(&quot;$&quot;* #,##0_);_(&quot;$&quot;* \(#,##0\);_(&quot;$&quot;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Gothic"/>
        <family val="2"/>
        <scheme val="none"/>
      </font>
      <numFmt numFmtId="164" formatCode="_(&quot;$&quot;* #,##0_);_(&quot;$&quot;* \(#,##0\);_(&quot;$&quot;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Gothic"/>
        <family val="2"/>
        <scheme val="none"/>
      </font>
      <numFmt numFmtId="164" formatCode="_(&quot;$&quot;* #,##0_);_(&quot;$&quot;* \(#,##0\);_(&quot;$&quot;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Gothic"/>
        <family val="2"/>
        <scheme val="none"/>
      </font>
      <numFmt numFmtId="164" formatCode="_(&quot;$&quot;* #,##0_);_(&quot;$&quot;* \(#,##0\);_(&quot;$&quot;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Gothic"/>
        <family val="2"/>
        <scheme val="none"/>
      </font>
      <fill>
        <patternFill patternType="solid">
          <fgColor indexed="64"/>
          <bgColor rgb="FFFFB316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F394AF-EDF3-4E7C-8B45-1AAA86FEB7D5}" name="Table1" displayName="Table1" ref="A2:J15" totalsRowShown="0" headerRowDxfId="25" dataDxfId="24" tableBorderDxfId="23" dataCellStyle="Currency">
  <autoFilter ref="A2:J15" xr:uid="{78F394AF-EDF3-4E7C-8B45-1AAA86FEB7D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sortState xmlns:xlrd2="http://schemas.microsoft.com/office/spreadsheetml/2017/richdata2" ref="A3:I14">
    <sortCondition ref="A2:A14"/>
  </sortState>
  <tableColumns count="10">
    <tableColumn id="1" xr3:uid="{F1E3969E-C717-4164-9054-488368E9412F}" name="Developer" dataDxfId="22"/>
    <tableColumn id="2" xr3:uid="{A7B93563-FAB3-4E02-9635-4181709D04D5}" name="Project Name" dataDxfId="21"/>
    <tableColumn id="3" xr3:uid="{24B7F1DC-9A6C-4C3D-8632-66008C9F70E3}" name="Location" dataDxfId="20"/>
    <tableColumn id="10" xr3:uid="{A421A703-F45B-4517-B7C6-B7F3FC5EE03B}" name="Project Type" dataDxfId="19"/>
    <tableColumn id="4" xr3:uid="{3C2F8E77-225D-4A41-B3DD-F1A40EB149E2}" name="Development Type" dataDxfId="18"/>
    <tableColumn id="9" xr3:uid="{2F867B3A-4AC4-464A-9907-7DCBFFF3732B}" name="Units" dataDxfId="17"/>
    <tableColumn id="5" xr3:uid="{50F2532E-EE4C-4B18-89BD-75C4CE973C5D}" name="HOME" dataDxfId="16" dataCellStyle="Currency"/>
    <tableColumn id="6" xr3:uid="{E2B882C5-4D35-499D-9F35-AB23EE8A4505}" name="NHTF" dataDxfId="15" dataCellStyle="Currency"/>
    <tableColumn id="7" xr3:uid="{F831E670-A0FF-48B6-8769-08A37FD70EE9}" name="TAX CREDIT" dataDxfId="14" dataCellStyle="Currency"/>
    <tableColumn id="8" xr3:uid="{2E002AAF-31B2-4245-903D-FDDA14698435}" name="4% Bond Request" dataDxfId="13" dataCellStyle="Currenc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96BB0A4-9E01-423A-89B5-595E57A83DFD}" name="Table13" displayName="Table13" ref="A2:J4" totalsRowShown="0" headerRowDxfId="12" dataDxfId="11" tableBorderDxfId="10" dataCellStyle="Currency">
  <autoFilter ref="A2:J4" xr:uid="{78F394AF-EDF3-4E7C-8B45-1AAA86FEB7D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sortState xmlns:xlrd2="http://schemas.microsoft.com/office/spreadsheetml/2017/richdata2" ref="A3:I4">
    <sortCondition ref="A2:A4"/>
  </sortState>
  <tableColumns count="10">
    <tableColumn id="1" xr3:uid="{32FE9EE1-906B-4468-9786-FC6FFB8B0AFC}" name="Developer" dataDxfId="9"/>
    <tableColumn id="2" xr3:uid="{2BB7D501-5954-47BB-ACF8-04CED80503B3}" name="Project Name" dataDxfId="8"/>
    <tableColumn id="3" xr3:uid="{144846EA-B192-4E65-B7DD-AF38E43BB1A7}" name="Location" dataDxfId="7"/>
    <tableColumn id="10" xr3:uid="{BDFD7C6C-E51A-472D-ABFD-33571827CE9E}" name="Project Type" dataDxfId="6"/>
    <tableColumn id="4" xr3:uid="{8135E25E-A038-4D94-91DA-185B45ACF151}" name="Development Type" dataDxfId="5"/>
    <tableColumn id="9" xr3:uid="{F1B2A3B2-22EF-46DD-BF7C-9605FC277383}" name="Units" dataDxfId="4"/>
    <tableColumn id="5" xr3:uid="{0E5EBC9F-101A-4E5D-9DD6-1E6E0225B5A4}" name="HOME" dataDxfId="3" dataCellStyle="Currency"/>
    <tableColumn id="6" xr3:uid="{9E51FC0F-B7AB-4D0D-ACA3-C3CF47AB94D1}" name="NHTF" dataDxfId="2" dataCellStyle="Currency"/>
    <tableColumn id="7" xr3:uid="{D41B2D6A-A426-4F5A-9F79-2D0A62FFDE34}" name="TAX CREDIT" dataDxfId="1" dataCellStyle="Currency"/>
    <tableColumn id="8" xr3:uid="{F5C751D5-6278-4C9D-9DC1-88A8D9864A51}" name="4% Bond Request" dataDxfId="0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3E964-65AD-4B9B-8D07-77F8E58E2E38}">
  <dimension ref="A1:J18"/>
  <sheetViews>
    <sheetView tabSelected="1" zoomScale="130" zoomScaleNormal="130" workbookViewId="0">
      <selection activeCell="F16" sqref="F16"/>
    </sheetView>
  </sheetViews>
  <sheetFormatPr defaultColWidth="9.1796875" defaultRowHeight="13.5" x14ac:dyDescent="0.25"/>
  <cols>
    <col min="1" max="1" width="28.453125" style="5" bestFit="1" customWidth="1"/>
    <col min="2" max="2" width="27.81640625" style="5" bestFit="1" customWidth="1"/>
    <col min="3" max="3" width="10.453125" style="5" bestFit="1" customWidth="1"/>
    <col min="4" max="4" width="9.1796875" style="5" customWidth="1"/>
    <col min="5" max="5" width="17" style="5" customWidth="1"/>
    <col min="6" max="6" width="7.54296875" style="5" customWidth="1"/>
    <col min="7" max="9" width="17.26953125" style="5" bestFit="1" customWidth="1"/>
    <col min="10" max="10" width="14.26953125" style="5" bestFit="1" customWidth="1"/>
    <col min="11" max="16384" width="9.1796875" style="5"/>
  </cols>
  <sheetData>
    <row r="1" spans="1:10" ht="22.5" x14ac:dyDescent="0.45">
      <c r="A1" s="17" t="s">
        <v>41</v>
      </c>
      <c r="B1" s="17"/>
      <c r="C1" s="17"/>
      <c r="D1" s="17"/>
      <c r="E1" s="17"/>
      <c r="F1" s="17"/>
      <c r="G1" s="17"/>
      <c r="H1" s="17"/>
      <c r="I1" s="17"/>
      <c r="J1" s="17"/>
    </row>
    <row r="2" spans="1:10" ht="14" x14ac:dyDescent="0.3">
      <c r="A2" s="4" t="s">
        <v>0</v>
      </c>
      <c r="B2" s="4" t="s">
        <v>1</v>
      </c>
      <c r="C2" s="4" t="s">
        <v>2</v>
      </c>
      <c r="D2" s="4" t="s">
        <v>19</v>
      </c>
      <c r="E2" s="4" t="s">
        <v>3</v>
      </c>
      <c r="F2" s="4" t="s">
        <v>18</v>
      </c>
      <c r="G2" s="4" t="s">
        <v>4</v>
      </c>
      <c r="H2" s="4" t="s">
        <v>5</v>
      </c>
      <c r="I2" s="4" t="s">
        <v>6</v>
      </c>
      <c r="J2" s="4" t="s">
        <v>17</v>
      </c>
    </row>
    <row r="3" spans="1:10" ht="14" x14ac:dyDescent="0.3">
      <c r="A3" s="1" t="s">
        <v>21</v>
      </c>
      <c r="B3" s="1" t="s">
        <v>22</v>
      </c>
      <c r="C3" s="1" t="s">
        <v>23</v>
      </c>
      <c r="D3" s="1" t="s">
        <v>20</v>
      </c>
      <c r="E3" s="1" t="s">
        <v>7</v>
      </c>
      <c r="F3" s="1">
        <v>24</v>
      </c>
      <c r="G3" s="13">
        <v>2000001</v>
      </c>
      <c r="H3" s="13">
        <v>0</v>
      </c>
      <c r="I3" s="13">
        <v>847500</v>
      </c>
      <c r="J3" s="2">
        <v>0</v>
      </c>
    </row>
    <row r="4" spans="1:10" ht="14" x14ac:dyDescent="0.3">
      <c r="A4" s="1" t="s">
        <v>24</v>
      </c>
      <c r="B4" s="1" t="s">
        <v>25</v>
      </c>
      <c r="C4" s="3" t="s">
        <v>26</v>
      </c>
      <c r="D4" s="3" t="s">
        <v>48</v>
      </c>
      <c r="E4" s="1" t="s">
        <v>7</v>
      </c>
      <c r="F4" s="1">
        <v>29</v>
      </c>
      <c r="G4" s="15">
        <v>2782923</v>
      </c>
      <c r="H4" s="15">
        <v>758979</v>
      </c>
      <c r="I4" s="15">
        <v>950000</v>
      </c>
      <c r="J4" s="2">
        <v>0</v>
      </c>
    </row>
    <row r="5" spans="1:10" ht="14" x14ac:dyDescent="0.3">
      <c r="A5" s="1" t="s">
        <v>14</v>
      </c>
      <c r="B5" s="1" t="s">
        <v>15</v>
      </c>
      <c r="C5" s="1" t="s">
        <v>8</v>
      </c>
      <c r="D5" s="1" t="s">
        <v>20</v>
      </c>
      <c r="E5" s="1" t="s">
        <v>7</v>
      </c>
      <c r="F5" s="1">
        <v>41</v>
      </c>
      <c r="G5" s="13">
        <v>2770000</v>
      </c>
      <c r="H5" s="13">
        <v>0</v>
      </c>
      <c r="I5" s="13">
        <v>1349166</v>
      </c>
      <c r="J5" s="2">
        <v>0</v>
      </c>
    </row>
    <row r="6" spans="1:10" ht="14" x14ac:dyDescent="0.3">
      <c r="A6" s="1" t="s">
        <v>21</v>
      </c>
      <c r="B6" s="3" t="s">
        <v>27</v>
      </c>
      <c r="C6" s="1" t="s">
        <v>28</v>
      </c>
      <c r="D6" s="1" t="s">
        <v>20</v>
      </c>
      <c r="E6" s="1" t="s">
        <v>7</v>
      </c>
      <c r="F6" s="1">
        <v>24</v>
      </c>
      <c r="G6" s="15">
        <v>2000001</v>
      </c>
      <c r="H6" s="15">
        <v>0</v>
      </c>
      <c r="I6" s="15">
        <v>847500</v>
      </c>
      <c r="J6" s="2">
        <v>0</v>
      </c>
    </row>
    <row r="7" spans="1:10" ht="14" x14ac:dyDescent="0.3">
      <c r="A7" s="11" t="s">
        <v>11</v>
      </c>
      <c r="B7" s="3" t="s">
        <v>29</v>
      </c>
      <c r="C7" s="11" t="s">
        <v>30</v>
      </c>
      <c r="D7" s="11" t="s">
        <v>20</v>
      </c>
      <c r="E7" s="11" t="s">
        <v>9</v>
      </c>
      <c r="F7" s="11">
        <v>48</v>
      </c>
      <c r="G7" s="14">
        <v>2600000</v>
      </c>
      <c r="H7" s="14">
        <v>0</v>
      </c>
      <c r="I7" s="14">
        <v>949354</v>
      </c>
      <c r="J7" s="12">
        <v>0</v>
      </c>
    </row>
    <row r="8" spans="1:10" ht="14" x14ac:dyDescent="0.3">
      <c r="A8" s="1" t="s">
        <v>31</v>
      </c>
      <c r="B8" s="1" t="s">
        <v>32</v>
      </c>
      <c r="C8" s="1" t="s">
        <v>12</v>
      </c>
      <c r="D8" s="1" t="s">
        <v>20</v>
      </c>
      <c r="E8" s="1" t="s">
        <v>33</v>
      </c>
      <c r="F8" s="1">
        <v>50</v>
      </c>
      <c r="G8" s="16">
        <v>2794950</v>
      </c>
      <c r="H8" s="16">
        <v>571500</v>
      </c>
      <c r="I8" s="16">
        <v>1050210</v>
      </c>
      <c r="J8" s="15">
        <v>1103784</v>
      </c>
    </row>
    <row r="9" spans="1:10" ht="14" x14ac:dyDescent="0.3">
      <c r="A9" s="1" t="s">
        <v>31</v>
      </c>
      <c r="B9" s="1" t="s">
        <v>32</v>
      </c>
      <c r="C9" s="1" t="s">
        <v>12</v>
      </c>
      <c r="D9" s="1" t="s">
        <v>20</v>
      </c>
      <c r="E9" s="1" t="s">
        <v>33</v>
      </c>
      <c r="F9" s="1">
        <v>66</v>
      </c>
      <c r="G9" s="13">
        <v>2030000</v>
      </c>
      <c r="H9" s="13">
        <v>0</v>
      </c>
      <c r="I9" s="13">
        <v>1958900</v>
      </c>
      <c r="J9" s="2">
        <v>0</v>
      </c>
    </row>
    <row r="10" spans="1:10" ht="14" x14ac:dyDescent="0.3">
      <c r="A10" s="1" t="s">
        <v>34</v>
      </c>
      <c r="B10" s="1" t="s">
        <v>49</v>
      </c>
      <c r="C10" s="1" t="s">
        <v>10</v>
      </c>
      <c r="D10" s="1" t="s">
        <v>20</v>
      </c>
      <c r="E10" s="3" t="s">
        <v>33</v>
      </c>
      <c r="F10" s="3">
        <v>24</v>
      </c>
      <c r="G10" s="15">
        <v>2300000</v>
      </c>
      <c r="H10" s="15">
        <v>0</v>
      </c>
      <c r="I10" s="15">
        <v>975000</v>
      </c>
      <c r="J10" s="2">
        <v>0</v>
      </c>
    </row>
    <row r="11" spans="1:10" ht="14" x14ac:dyDescent="0.3">
      <c r="A11" s="1" t="s">
        <v>11</v>
      </c>
      <c r="B11" s="1" t="s">
        <v>35</v>
      </c>
      <c r="C11" s="1" t="s">
        <v>10</v>
      </c>
      <c r="D11" s="1" t="s">
        <v>20</v>
      </c>
      <c r="E11" s="1" t="s">
        <v>7</v>
      </c>
      <c r="F11" s="1">
        <v>24</v>
      </c>
      <c r="G11" s="2">
        <v>2000000</v>
      </c>
      <c r="H11" s="2">
        <v>0</v>
      </c>
      <c r="I11" s="2">
        <v>815000</v>
      </c>
      <c r="J11" s="2">
        <v>0</v>
      </c>
    </row>
    <row r="12" spans="1:10" ht="14" x14ac:dyDescent="0.3">
      <c r="A12" s="1" t="s">
        <v>36</v>
      </c>
      <c r="B12" s="1" t="s">
        <v>37</v>
      </c>
      <c r="C12" s="1" t="s">
        <v>16</v>
      </c>
      <c r="D12" s="1" t="s">
        <v>48</v>
      </c>
      <c r="E12" s="1" t="s">
        <v>9</v>
      </c>
      <c r="F12" s="1">
        <v>40</v>
      </c>
      <c r="G12" s="16">
        <v>2010000</v>
      </c>
      <c r="H12" s="16">
        <v>0</v>
      </c>
      <c r="I12" s="16">
        <v>912000</v>
      </c>
      <c r="J12" s="2">
        <v>0</v>
      </c>
    </row>
    <row r="13" spans="1:10" ht="14" x14ac:dyDescent="0.3">
      <c r="A13" s="1" t="s">
        <v>13</v>
      </c>
      <c r="B13" s="1" t="s">
        <v>38</v>
      </c>
      <c r="C13" s="1" t="s">
        <v>16</v>
      </c>
      <c r="D13" s="1" t="s">
        <v>20</v>
      </c>
      <c r="E13" s="1" t="s">
        <v>9</v>
      </c>
      <c r="F13" s="1">
        <v>96</v>
      </c>
      <c r="G13" s="16">
        <v>2901425</v>
      </c>
      <c r="H13" s="16">
        <v>0</v>
      </c>
      <c r="I13" s="16">
        <v>1400000</v>
      </c>
      <c r="J13" s="2">
        <v>0</v>
      </c>
    </row>
    <row r="14" spans="1:10" ht="14" x14ac:dyDescent="0.3">
      <c r="A14" s="1" t="s">
        <v>13</v>
      </c>
      <c r="B14" s="1" t="s">
        <v>39</v>
      </c>
      <c r="C14" s="1" t="s">
        <v>40</v>
      </c>
      <c r="D14" s="1" t="s">
        <v>20</v>
      </c>
      <c r="E14" s="1" t="s">
        <v>7</v>
      </c>
      <c r="F14" s="1">
        <v>48</v>
      </c>
      <c r="G14" s="15">
        <v>2661851</v>
      </c>
      <c r="H14" s="15">
        <v>461041</v>
      </c>
      <c r="I14" s="15">
        <v>1250000</v>
      </c>
      <c r="J14" s="2">
        <v>0</v>
      </c>
    </row>
    <row r="15" spans="1:10" ht="14" x14ac:dyDescent="0.3">
      <c r="A15" s="1" t="s">
        <v>45</v>
      </c>
      <c r="B15" s="1" t="s">
        <v>46</v>
      </c>
      <c r="C15" s="1" t="s">
        <v>47</v>
      </c>
      <c r="D15" s="1" t="s">
        <v>48</v>
      </c>
      <c r="E15" s="1" t="s">
        <v>33</v>
      </c>
      <c r="F15" s="1">
        <v>60</v>
      </c>
      <c r="G15" s="13">
        <v>1103418</v>
      </c>
      <c r="H15" s="13">
        <v>2333473</v>
      </c>
      <c r="I15" s="13">
        <v>1126125</v>
      </c>
      <c r="J15" s="2"/>
    </row>
    <row r="16" spans="1:10" ht="14.5" thickBot="1" x14ac:dyDescent="0.35">
      <c r="A16" s="6"/>
      <c r="B16" s="6"/>
      <c r="C16" s="6"/>
      <c r="D16" s="6"/>
      <c r="E16" s="6"/>
      <c r="F16" s="6"/>
      <c r="G16" s="18">
        <f>SUM(G3:G15)</f>
        <v>29954569</v>
      </c>
      <c r="H16" s="18">
        <f>SUM(H3:H15)</f>
        <v>4124993</v>
      </c>
      <c r="I16" s="18">
        <f>SUM(I3:I15)</f>
        <v>14430755</v>
      </c>
      <c r="J16" s="10">
        <f>SUM(Table1[4% Bond Request])</f>
        <v>1103784</v>
      </c>
    </row>
    <row r="17" spans="1:9" ht="14.5" thickTop="1" x14ac:dyDescent="0.3">
      <c r="A17" s="8"/>
      <c r="B17" s="9"/>
      <c r="C17" s="9"/>
      <c r="D17" s="9"/>
      <c r="E17" s="9"/>
      <c r="F17" s="9"/>
      <c r="G17" s="9"/>
      <c r="H17" s="9"/>
      <c r="I17" s="9"/>
    </row>
    <row r="18" spans="1:9" ht="14" x14ac:dyDescent="0.3">
      <c r="A18" s="8"/>
      <c r="B18" s="9"/>
      <c r="C18" s="9"/>
      <c r="D18" s="9"/>
      <c r="E18" s="9"/>
      <c r="F18" s="9"/>
      <c r="G18" s="9"/>
      <c r="H18" s="9"/>
      <c r="I18" s="9"/>
    </row>
  </sheetData>
  <sortState xmlns:xlrd2="http://schemas.microsoft.com/office/spreadsheetml/2017/richdata2" ref="A3:I23">
    <sortCondition ref="A2:A23"/>
  </sortState>
  <mergeCells count="1">
    <mergeCell ref="A1:J1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14F8B-F233-4BC2-BF45-86AAA228537E}">
  <dimension ref="A1:J7"/>
  <sheetViews>
    <sheetView zoomScale="130" zoomScaleNormal="130" workbookViewId="0">
      <selection activeCell="J4" sqref="J4"/>
    </sheetView>
  </sheetViews>
  <sheetFormatPr defaultColWidth="9.1796875" defaultRowHeight="13.5" x14ac:dyDescent="0.25"/>
  <cols>
    <col min="1" max="1" width="28.453125" style="5" bestFit="1" customWidth="1"/>
    <col min="2" max="2" width="27.81640625" style="5" bestFit="1" customWidth="1"/>
    <col min="3" max="3" width="10.453125" style="5" bestFit="1" customWidth="1"/>
    <col min="4" max="4" width="9.1796875" style="5" customWidth="1"/>
    <col min="5" max="5" width="17" style="5" customWidth="1"/>
    <col min="6" max="6" width="7.54296875" style="5" customWidth="1"/>
    <col min="7" max="9" width="17.26953125" style="5" bestFit="1" customWidth="1"/>
    <col min="10" max="10" width="14.26953125" style="5" bestFit="1" customWidth="1"/>
    <col min="11" max="16384" width="9.1796875" style="5"/>
  </cols>
  <sheetData>
    <row r="1" spans="1:10" ht="22.5" x14ac:dyDescent="0.45">
      <c r="A1" s="17" t="s">
        <v>42</v>
      </c>
      <c r="B1" s="17"/>
      <c r="C1" s="17"/>
      <c r="D1" s="17"/>
      <c r="E1" s="17"/>
      <c r="F1" s="17"/>
      <c r="G1" s="17"/>
      <c r="H1" s="17"/>
      <c r="I1" s="17"/>
      <c r="J1" s="17"/>
    </row>
    <row r="2" spans="1:10" ht="14" x14ac:dyDescent="0.3">
      <c r="A2" s="4" t="s">
        <v>0</v>
      </c>
      <c r="B2" s="4" t="s">
        <v>1</v>
      </c>
      <c r="C2" s="4" t="s">
        <v>2</v>
      </c>
      <c r="D2" s="4" t="s">
        <v>19</v>
      </c>
      <c r="E2" s="4" t="s">
        <v>3</v>
      </c>
      <c r="F2" s="4" t="s">
        <v>18</v>
      </c>
      <c r="G2" s="4" t="s">
        <v>4</v>
      </c>
      <c r="H2" s="4" t="s">
        <v>5</v>
      </c>
      <c r="I2" s="4" t="s">
        <v>6</v>
      </c>
      <c r="J2" s="4" t="s">
        <v>17</v>
      </c>
    </row>
    <row r="3" spans="1:10" ht="14" x14ac:dyDescent="0.3">
      <c r="A3" s="1" t="s">
        <v>43</v>
      </c>
      <c r="B3" s="1" t="s">
        <v>44</v>
      </c>
      <c r="C3" s="1" t="s">
        <v>8</v>
      </c>
      <c r="D3" s="1" t="s">
        <v>20</v>
      </c>
      <c r="E3" s="1" t="s">
        <v>9</v>
      </c>
      <c r="F3" s="1">
        <v>188</v>
      </c>
      <c r="G3" s="13">
        <v>0</v>
      </c>
      <c r="H3" s="13">
        <v>0</v>
      </c>
      <c r="I3" s="13">
        <v>0</v>
      </c>
      <c r="J3" s="2">
        <v>1764459</v>
      </c>
    </row>
    <row r="4" spans="1:10" ht="14" x14ac:dyDescent="0.3">
      <c r="A4" s="1"/>
      <c r="B4" s="1"/>
      <c r="C4" s="3"/>
      <c r="D4" s="3"/>
      <c r="E4" s="1"/>
      <c r="F4" s="1"/>
      <c r="G4" s="15">
        <v>0</v>
      </c>
      <c r="H4" s="15">
        <v>0</v>
      </c>
      <c r="I4" s="15">
        <v>0</v>
      </c>
      <c r="J4" s="2">
        <v>0</v>
      </c>
    </row>
    <row r="5" spans="1:10" ht="14.5" thickBot="1" x14ac:dyDescent="0.35">
      <c r="A5" s="6"/>
      <c r="B5" s="6"/>
      <c r="C5" s="6"/>
      <c r="D5" s="6"/>
      <c r="E5" s="6"/>
      <c r="F5" s="6"/>
      <c r="G5" s="7">
        <f>SUM(G3:G4)</f>
        <v>0</v>
      </c>
      <c r="H5" s="7">
        <f>SUM(H3:H4)</f>
        <v>0</v>
      </c>
      <c r="I5" s="7">
        <f>SUM(I3:I4)</f>
        <v>0</v>
      </c>
      <c r="J5" s="10">
        <f>SUM(Table13[4% Bond Request])</f>
        <v>1764459</v>
      </c>
    </row>
    <row r="6" spans="1:10" ht="14.5" thickTop="1" x14ac:dyDescent="0.3">
      <c r="A6" s="8"/>
      <c r="B6" s="9"/>
      <c r="C6" s="9"/>
      <c r="D6" s="9"/>
      <c r="E6" s="9"/>
      <c r="F6" s="9"/>
      <c r="G6" s="9"/>
      <c r="H6" s="9"/>
      <c r="I6" s="9"/>
    </row>
    <row r="7" spans="1:10" ht="14" x14ac:dyDescent="0.3">
      <c r="A7" s="8"/>
      <c r="B7" s="9"/>
      <c r="C7" s="9"/>
      <c r="D7" s="9"/>
      <c r="E7" s="9"/>
      <c r="F7" s="9"/>
      <c r="G7" s="9"/>
      <c r="H7" s="9"/>
      <c r="I7" s="9"/>
    </row>
  </sheetData>
  <mergeCells count="1">
    <mergeCell ref="A1:J1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9%</vt:lpstr>
      <vt:lpstr>4%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Tessa Coscino</dc:creator>
  <cp:lastModifiedBy>Tessa Condelario</cp:lastModifiedBy>
  <dcterms:created xsi:type="dcterms:W3CDTF">2022-10-05T19:36:34Z</dcterms:created>
  <dcterms:modified xsi:type="dcterms:W3CDTF">2024-10-30T19:08:03Z</dcterms:modified>
</cp:coreProperties>
</file>